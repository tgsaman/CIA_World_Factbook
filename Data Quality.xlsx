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gsaman/Desktop/"/>
    </mc:Choice>
  </mc:AlternateContent>
  <xr:revisionPtr revIDLastSave="0" documentId="8_{0F494D86-D2B7-1747-A441-3059F86823CB}" xr6:coauthVersionLast="47" xr6:coauthVersionMax="47" xr10:uidLastSave="{00000000-0000-0000-0000-000000000000}"/>
  <bookViews>
    <workbookView xWindow="33540" yWindow="2620" windowWidth="25440" windowHeight="14580" xr2:uid="{E56A3D78-2B4C-2845-B91B-771F23295D03}"/>
  </bookViews>
  <sheets>
    <sheet name="Data Quality Report" sheetId="1" r:id="rId1"/>
    <sheet name="Completeness" sheetId="5" r:id="rId2"/>
    <sheet name="Consistency" sheetId="4" r:id="rId3"/>
    <sheet name="Validity" sheetId="7" r:id="rId4"/>
    <sheet name="Timeliness" sheetId="6" r:id="rId5"/>
    <sheet name="Uniqueness" sheetId="2" r:id="rId6"/>
    <sheet name="Accuracy" sheetId="3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  <c r="D3" i="4"/>
  <c r="D4" i="4"/>
  <c r="D5" i="4"/>
  <c r="D6" i="4"/>
  <c r="D7" i="4"/>
  <c r="D8" i="4"/>
  <c r="D9" i="4"/>
  <c r="G2" i="4" s="1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" i="4"/>
  <c r="F3" i="7"/>
</calcChain>
</file>

<file path=xl/sharedStrings.xml><?xml version="1.0" encoding="utf-8"?>
<sst xmlns="http://schemas.openxmlformats.org/spreadsheetml/2006/main" count="498" uniqueCount="445">
  <si>
    <t>ColumnName</t>
  </si>
  <si>
    <t>DataType</t>
  </si>
  <si>
    <t>validity_score</t>
  </si>
  <si>
    <t>Region</t>
  </si>
  <si>
    <t>nvarchar</t>
  </si>
  <si>
    <t>Name</t>
  </si>
  <si>
    <t>Average:</t>
  </si>
  <si>
    <t>Clean_Pop</t>
  </si>
  <si>
    <t>int</t>
  </si>
  <si>
    <t>Population_Rank</t>
  </si>
  <si>
    <t>tinyint</t>
  </si>
  <si>
    <t>RGDP</t>
  </si>
  <si>
    <t>money</t>
  </si>
  <si>
    <t>RGDP_Year</t>
  </si>
  <si>
    <t>smallint</t>
  </si>
  <si>
    <t>Validity measures the appropriateness of the data types given (integer, decimal, text) for each value in the table.</t>
  </si>
  <si>
    <t>RGDP_Rank</t>
  </si>
  <si>
    <t>The CIA data in its raw form is completely flat (no data types are given)</t>
  </si>
  <si>
    <t>RGDP_Per_Capita</t>
  </si>
  <si>
    <t>This score was derived as a self-assessment of how optimized the data types I've used to perform calculations are for all use cases.</t>
  </si>
  <si>
    <t>RGDP_Per_Capita_Rank</t>
  </si>
  <si>
    <t>For example, a Money value saved as a Decimal still allows for calculations and code performance, but may cause display issues in other apps.</t>
  </si>
  <si>
    <t>RGDP_Growth_Rate</t>
  </si>
  <si>
    <t>float</t>
  </si>
  <si>
    <t>In cases where data is workable, but not optimized, a score of .5 was given. Data types that are not applicable for the given data were scored with a 0</t>
  </si>
  <si>
    <t>RGDP_G_Year</t>
  </si>
  <si>
    <t>RGDP_Growth_Rank</t>
  </si>
  <si>
    <t>Population_Growth_Rate</t>
  </si>
  <si>
    <t>PopG_Year</t>
  </si>
  <si>
    <t>Gini_Index_Coefficient</t>
  </si>
  <si>
    <t>Gini_Rank</t>
  </si>
  <si>
    <t>Gini_Year</t>
  </si>
  <si>
    <t>Inflation_Rate_YoY_Consumer_Prices</t>
  </si>
  <si>
    <t>Inflation_Rate_Year</t>
  </si>
  <si>
    <t>varchar</t>
  </si>
  <si>
    <t>Inflation_rank</t>
  </si>
  <si>
    <t>Clean_LF</t>
  </si>
  <si>
    <t>decimal</t>
  </si>
  <si>
    <t>Labor_Force_Year</t>
  </si>
  <si>
    <t>Labor_Force_rank</t>
  </si>
  <si>
    <t>Unemployment_Rate</t>
  </si>
  <si>
    <t>Unemployment_Rate_Year</t>
  </si>
  <si>
    <t>GDP_Pct_Agricultural</t>
  </si>
  <si>
    <t>GDPa_pct_Year</t>
  </si>
  <si>
    <t>GDP_Pct_Industrial</t>
  </si>
  <si>
    <t>GDPi_pct_Year</t>
  </si>
  <si>
    <t>GDP_Pct_Services</t>
  </si>
  <si>
    <t>GDPs_pct_Year</t>
  </si>
  <si>
    <t>Clean_IU</t>
  </si>
  <si>
    <t>Int_Users_Year</t>
  </si>
  <si>
    <t>Internet_Users_rank</t>
  </si>
  <si>
    <t>Education_Budget_Pct</t>
  </si>
  <si>
    <t>Edu_Budget_Year</t>
  </si>
  <si>
    <t>Military_budget_pct</t>
  </si>
  <si>
    <t>Mil_Budget_Year</t>
  </si>
  <si>
    <t>Coal_Revenue_Pct_GDP</t>
  </si>
  <si>
    <t>Coal_Rev_Year</t>
  </si>
  <si>
    <t>CO2_Emissions_mTonnes</t>
  </si>
  <si>
    <t>Emissions_Year</t>
  </si>
  <si>
    <t>Emissions_Rank</t>
  </si>
  <si>
    <t>Installed_Generating_Capacity_kW</t>
  </si>
  <si>
    <t>GenCap_Year</t>
  </si>
  <si>
    <t>GenCap_Rank</t>
  </si>
  <si>
    <t>Energy_Consumption_Per_Capita_btu</t>
  </si>
  <si>
    <t>Consumption_Year</t>
  </si>
  <si>
    <t>Energy_Consumption_pc_Rank</t>
  </si>
  <si>
    <t>Education_Budget_Est</t>
  </si>
  <si>
    <t>Military_Budget_Est</t>
  </si>
  <si>
    <t>Coal_Revenue_Est</t>
  </si>
  <si>
    <t>pct_Population_with_internet_Est</t>
  </si>
  <si>
    <t>Unemployed_Population_Est</t>
  </si>
  <si>
    <t>Agricultural_Product_Est</t>
  </si>
  <si>
    <t>Industrial_Product_Est</t>
  </si>
  <si>
    <t>Services_Product_Est</t>
  </si>
  <si>
    <t>RGDP_y_valid</t>
  </si>
  <si>
    <t>RGDP_y_valid_Count</t>
  </si>
  <si>
    <t>RGDPY_Pct_timely</t>
  </si>
  <si>
    <t>RGDP_G_y_valid</t>
  </si>
  <si>
    <t>RGDP_G_y_valid_Count</t>
  </si>
  <si>
    <t>RGDPG_Pct_timely</t>
  </si>
  <si>
    <t>PopG_y_valid</t>
  </si>
  <si>
    <t>PopG_y_valid_Count</t>
  </si>
  <si>
    <t>PopG_Pct_timely</t>
  </si>
  <si>
    <t>Inflation_Rate_y_valid</t>
  </si>
  <si>
    <t>Inflation_Rate_y_valid_Count</t>
  </si>
  <si>
    <t>Inflation_Pct_timely</t>
  </si>
  <si>
    <t>Labor_Force_y_valid</t>
  </si>
  <si>
    <t>Labor_Force_y_valid_Count</t>
  </si>
  <si>
    <t>LaborForce_Pct_timely</t>
  </si>
  <si>
    <t>Unemployment_Rate_y_valid</t>
  </si>
  <si>
    <t>Unemployment_Rate_y_valid_Count</t>
  </si>
  <si>
    <t>Unemployment_Pct_timely</t>
  </si>
  <si>
    <t>GDPa_pct_y_valid</t>
  </si>
  <si>
    <t>GDPa_pct_y_valid_Count</t>
  </si>
  <si>
    <t>GDPa_Pct_timely</t>
  </si>
  <si>
    <t>GDPi_pct_y_valid</t>
  </si>
  <si>
    <t>GDPi_pct_y_valid_Count</t>
  </si>
  <si>
    <t>GDPi_Pct_timely</t>
  </si>
  <si>
    <t>GDPs_pct_y_valid</t>
  </si>
  <si>
    <t>GDPs_pct_y_valid_Count</t>
  </si>
  <si>
    <t>GDPs_Pct_timely</t>
  </si>
  <si>
    <t>Int_Users_y_valid</t>
  </si>
  <si>
    <t>Int_Users_y_valid_Count</t>
  </si>
  <si>
    <t>Int_Users_Pct_timely</t>
  </si>
  <si>
    <t>Edu_Budget_y_valid</t>
  </si>
  <si>
    <t>Edu_Budget_y_valid_Count</t>
  </si>
  <si>
    <t>Edu_Budget_Pct_timely</t>
  </si>
  <si>
    <t>Mil_Budget_y_valid</t>
  </si>
  <si>
    <t>Mil_Budget_y_valid_Count</t>
  </si>
  <si>
    <t>Mil_Budget_Pct_timely</t>
  </si>
  <si>
    <t>Coal_Rev_y_valid</t>
  </si>
  <si>
    <t>Coal_Rev_y_valid_Count</t>
  </si>
  <si>
    <t>Coal_Rev_Pct_timely</t>
  </si>
  <si>
    <t>Emissions_y_valid</t>
  </si>
  <si>
    <t>Emissions_y_valid_Count</t>
  </si>
  <si>
    <t>Emissions_Pct_timely</t>
  </si>
  <si>
    <t>GenCap_y_valid</t>
  </si>
  <si>
    <t>GenCap_y_valid_Count</t>
  </si>
  <si>
    <t>GenCap_Pct_timely</t>
  </si>
  <si>
    <t>Consumption_y_valid</t>
  </si>
  <si>
    <t>Consumption_y_valid_Count</t>
  </si>
  <si>
    <t>Consumption_Pct_timely</t>
  </si>
  <si>
    <t>Timeliness measures the relevance of a dataset as it relates to time. How recent is the data we're working with? Do we know when it was last updated?</t>
  </si>
  <si>
    <t>(Timeliness score as a percentage of numeric columns where a date value was included)</t>
  </si>
  <si>
    <t>As you can see, that information is simply missing, in a lot of places.</t>
  </si>
  <si>
    <t>Weighted:</t>
  </si>
  <si>
    <t>(Same as above, but older data is weighted by -0.1, for every year that has passed)</t>
  </si>
  <si>
    <t>Older data was formulated to weigh more negatively on the score, to emphasize recency issues in the data.</t>
  </si>
  <si>
    <t>Countries_and_territories</t>
  </si>
  <si>
    <t>Region_completeness</t>
  </si>
  <si>
    <t>Name_completeness</t>
  </si>
  <si>
    <t>Clean_Pop_completeness</t>
  </si>
  <si>
    <t>Population_Rank_completeness</t>
  </si>
  <si>
    <t>RGDP_completeness</t>
  </si>
  <si>
    <t>RGDP_Year_completeness</t>
  </si>
  <si>
    <t>RGDP_Rank_completeness</t>
  </si>
  <si>
    <t>RGDP_Per_Capita_completeness</t>
  </si>
  <si>
    <t>RGDP_Per_Capita_Rank_completeness</t>
  </si>
  <si>
    <t>RGDP_Growth_Rate_completeness</t>
  </si>
  <si>
    <t>RGDP_G_Year_completeness</t>
  </si>
  <si>
    <t>RGDP_Growth_Rank_completeness</t>
  </si>
  <si>
    <t>Population_Growth_Rate_completeness</t>
  </si>
  <si>
    <t>PopG_Year_completeness</t>
  </si>
  <si>
    <t>Gini_Index_Coefficient_completeness</t>
  </si>
  <si>
    <t>Gini_Rank_completeness</t>
  </si>
  <si>
    <t>Gini_Year_completeness</t>
  </si>
  <si>
    <t>Inflation_Rate_YoY_Consumer_Prices_completeness</t>
  </si>
  <si>
    <t>Inflation_Rate_Year_completeness</t>
  </si>
  <si>
    <t>Inflation_rank_completeness</t>
  </si>
  <si>
    <t>Clean_LF_completeness</t>
  </si>
  <si>
    <t>Labor_Force_Year_completeness</t>
  </si>
  <si>
    <t>Labor_Force_rank_completeness</t>
  </si>
  <si>
    <t>Unemployment_Rate_completeness</t>
  </si>
  <si>
    <t>Unemployment_Rate_Year_completeness</t>
  </si>
  <si>
    <t>GDP_Pct_Agricultural_completeness</t>
  </si>
  <si>
    <t>GDPa_pct_Year_completeness</t>
  </si>
  <si>
    <t>GDP_Pct_Industrial_completeness</t>
  </si>
  <si>
    <t>GDPi_pct_Year_completeness</t>
  </si>
  <si>
    <t>GDP_Pct_Services_completeness</t>
  </si>
  <si>
    <t>GDPs_pct_Year_completeness</t>
  </si>
  <si>
    <t>Clean_IU_completeness</t>
  </si>
  <si>
    <t>Int_Users_Year_completeness</t>
  </si>
  <si>
    <t>Internet_Users_rank_completeness</t>
  </si>
  <si>
    <t>Education_Budget_Pct_completeness</t>
  </si>
  <si>
    <t>Edu_Budget_Year_completeness</t>
  </si>
  <si>
    <t>Military_budget_pct_completeness</t>
  </si>
  <si>
    <t>Mil_Budget_Year_completeness</t>
  </si>
  <si>
    <t>Coal_Revenue_Pct_GDP_completeness</t>
  </si>
  <si>
    <t>Coal_Rev_Year_completeness</t>
  </si>
  <si>
    <t>CO2_Emissions_mTonnes_completeness</t>
  </si>
  <si>
    <t>Emissions_Year_completeness</t>
  </si>
  <si>
    <t>Emissions_Rank_completeness</t>
  </si>
  <si>
    <t>Installed_Generating_Capacity_kW_completeness</t>
  </si>
  <si>
    <t>GenCap_Year_completeness</t>
  </si>
  <si>
    <t>GenCap_Rank_completeness</t>
  </si>
  <si>
    <t>Energy_Consumption_Per_Capita_btu_completeness</t>
  </si>
  <si>
    <t>Consumption_Year_completeness</t>
  </si>
  <si>
    <t>Energy_Consumption_pc_Rank_completeness</t>
  </si>
  <si>
    <t>Education_Budget_Est_completeness</t>
  </si>
  <si>
    <t>Military_Budget_Est_completeness</t>
  </si>
  <si>
    <t>Coal_Revenue_Est_completeness</t>
  </si>
  <si>
    <t>pct_Population_with_internet_Est_completeness</t>
  </si>
  <si>
    <t>Unemployed_Population_Est_completeness</t>
  </si>
  <si>
    <t>Agricultural_Product_Est_completeness</t>
  </si>
  <si>
    <t>Industrial_Product_Est_completeness</t>
  </si>
  <si>
    <t>Services_Product_Est_completeness</t>
  </si>
  <si>
    <t>Completeness measures the ratio of data to null values in the overall table. 16% of the data is simply missing, there are no estimates the CIA has shared publicly.</t>
  </si>
  <si>
    <t>Congruence_Score</t>
  </si>
  <si>
    <t>NonNull RowCount</t>
  </si>
  <si>
    <t>Consistency Score</t>
  </si>
  <si>
    <t>Afghanistan</t>
  </si>
  <si>
    <t>Albania</t>
  </si>
  <si>
    <t>Algeria</t>
  </si>
  <si>
    <t>American Samoa</t>
  </si>
  <si>
    <t>Andorra</t>
  </si>
  <si>
    <t>Consistency is a measure of how much data is created or destroyed from download to visualization.</t>
  </si>
  <si>
    <t>Angola</t>
  </si>
  <si>
    <t>I created a few things to add context (US nominal military budget, for example) but that docks points.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</si>
  <si>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</si>
  <si>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</si>
  <si>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</si>
  <si>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</si>
  <si>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</si>
  <si>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</si>
  <si>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</si>
  <si>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</si>
  <si>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</si>
  <si>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</si>
  <si>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</si>
  <si>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</si>
  <si>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</si>
  <si>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</si>
  <si>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</si>
  <si>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</si>
  <si>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</si>
  <si>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</si>
  <si>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</si>
  <si>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</si>
  <si>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</si>
  <si>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</si>
  <si>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</si>
  <si>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</si>
  <si>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</si>
  <si>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</si>
  <si>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</si>
  <si>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</si>
  <si>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</si>
  <si>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</si>
  <si>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</si>
  <si>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</si>
  <si>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</si>
  <si>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</si>
  <si>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</si>
  <si>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</si>
  <si>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</si>
  <si>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</si>
  <si>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</si>
  <si>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</si>
  <si>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</si>
  <si>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Congo, Democratic Republic of the</t>
  </si>
  <si>
    <t>Congo, Republic of the</t>
  </si>
  <si>
    <t>Cook Islands</t>
  </si>
  <si>
    <t>Costa Rica</t>
  </si>
  <si>
    <t>Cote d'Ivoire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</si>
  <si>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</si>
  <si>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</si>
  <si>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</si>
  <si>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</si>
  <si>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</si>
  <si>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</si>
  <si>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</si>
  <si>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</si>
  <si>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</si>
  <si>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</si>
  <si>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</si>
  <si>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</si>
  <si>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</si>
  <si>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</si>
  <si>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</si>
  <si>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</si>
  <si>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</si>
  <si>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 (Islas Malvinas)</t>
  </si>
  <si>
    <t>Faroe Islands</t>
  </si>
  <si>
    <t>Fiji</t>
  </si>
  <si>
    <t>Finland</t>
  </si>
  <si>
    <t>France</t>
  </si>
  <si>
    <t>French Polynesia</t>
  </si>
  <si>
    <t>Gabon</t>
  </si>
  <si>
    <t>Gambia, The</t>
  </si>
  <si>
    <t>Gaza Strip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</si>
  <si>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</si>
  <si>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</si>
  <si>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</si>
  <si>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</si>
  <si>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</si>
  <si>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</si>
  <si>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</si>
  <si>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</si>
  <si>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</si>
  <si>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Guernsey</t>
  </si>
  <si>
    <t>Guinea</t>
  </si>
  <si>
    <t>Guinea-Bissau</t>
  </si>
  <si>
    <t>Guyana</t>
  </si>
  <si>
    <t>Haiti</t>
  </si>
  <si>
    <t>Holy See (Vatican City)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</si>
  <si>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</si>
  <si>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</si>
  <si>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</si>
  <si>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</si>
  <si>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</si>
  <si>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</si>
  <si>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</si>
  <si>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</si>
  <si>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</si>
  <si>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</si>
  <si>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</si>
  <si>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</si>
  <si>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</si>
  <si>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</si>
  <si>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</si>
  <si>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</si>
  <si>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</si>
  <si>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</si>
  <si>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</si>
  <si>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</si>
  <si>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</si>
  <si>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</si>
  <si>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</si>
  <si>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</si>
  <si>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</si>
  <si>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</si>
  <si>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</si>
  <si>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</si>
  <si>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</si>
  <si>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</si>
  <si>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</si>
  <si>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</si>
  <si>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</si>
  <si>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</si>
  <si>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</si>
  <si>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</si>
  <si>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</si>
  <si>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</si>
  <si>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</si>
  <si>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</si>
  <si>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</si>
  <si>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</si>
  <si>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</si>
  <si>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</si>
  <si>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Federated States of</t>
  </si>
  <si>
    <t>Moldova</t>
  </si>
  <si>
    <t>Monaco</t>
  </si>
  <si>
    <t>Mongolia</t>
  </si>
  <si>
    <t>Montenegro</t>
  </si>
  <si>
    <t>Montserrat</t>
  </si>
  <si>
    <t>Morocco</t>
  </si>
  <si>
    <t>Mozambique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</si>
  <si>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</si>
  <si>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</si>
  <si>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</si>
  <si>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</si>
  <si>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</si>
  <si>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</si>
  <si>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</si>
  <si>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</si>
  <si>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</si>
  <si>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</si>
  <si>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</si>
  <si>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</si>
  <si>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</si>
  <si>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</si>
  <si>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</si>
  <si>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</si>
  <si>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</si>
  <si>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</si>
  <si>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</si>
  <si>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Paracel Islands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</si>
  <si>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</si>
  <si>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</si>
  <si>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</si>
  <si>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</si>
  <si>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</si>
  <si>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</si>
  <si>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</si>
  <si>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</si>
  <si>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Romania</t>
  </si>
  <si>
    <t>Russia</t>
  </si>
  <si>
    <t>Rwanda</t>
  </si>
  <si>
    <t>Saint Barthelemy</t>
  </si>
  <si>
    <t>Saint Helena, Ascension, and Tristan da Cunha</t>
  </si>
  <si>
    <t>Saint Kitts and Nevis</t>
  </si>
  <si>
    <t>Saint Lucia</t>
  </si>
  <si>
    <t>Saint Martin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</si>
  <si>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</si>
  <si>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</si>
  <si>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</si>
  <si>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</si>
  <si>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</si>
  <si>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</si>
  <si>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</si>
  <si>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</si>
  <si>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</si>
  <si>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</si>
  <si>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</si>
  <si>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</si>
  <si>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</si>
  <si>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</si>
  <si>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</si>
  <si>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</si>
  <si>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</si>
  <si>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</si>
  <si>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</si>
  <si>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</si>
  <si>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</si>
  <si>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</si>
  <si>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Svalbard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</si>
  <si>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</si>
  <si>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</si>
  <si>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</si>
  <si>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</si>
  <si>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</si>
  <si>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</si>
  <si>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</si>
  <si>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</si>
  <si>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</si>
  <si>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</si>
  <si>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</si>
  <si>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</si>
  <si>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</si>
  <si>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</si>
  <si>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</si>
  <si>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</si>
  <si>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</si>
  <si>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</si>
  <si>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</si>
  <si>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</si>
  <si>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</si>
  <si>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</si>
  <si>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</si>
  <si>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</si>
  <si>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</si>
  <si>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</si>
  <si>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Virgin Islands</t>
  </si>
  <si>
    <t>Wallis and Futuna</t>
  </si>
  <si>
    <t>West Bank</t>
  </si>
  <si>
    <t>Yemen</t>
  </si>
  <si>
    <t>Zambia</t>
  </si>
  <si>
    <t>Zimbabwe</t>
  </si>
  <si>
    <t>Accuracy measures the trustworthiness of your data; how representitive it is of fact.</t>
  </si>
  <si>
    <t>This one depends on how much you trust the CIA, as they don't reveal their sources.</t>
  </si>
  <si>
    <t>Giving them an arbitrary 90%, let's assume they're wrong 1/10 times.</t>
  </si>
  <si>
    <t>Uniqueness measures the duplication of data in a dataset.</t>
  </si>
  <si>
    <t>This dataset contains 237 countries, regions, and territories, more than the 197 the United States formally recognizes as diplomatic states.</t>
  </si>
  <si>
    <t>Many of these additional territories are disputed lands, mixed-government territories, colonies, or unrecognized states</t>
  </si>
  <si>
    <t>From a duplication or overlap perspective, some of these rows likely overlap (US data includes American Samoa and/or Guam)</t>
  </si>
  <si>
    <t>However, it is impossible to confirm the specifics of this overlap without more data from the CIA</t>
  </si>
  <si>
    <t>237/197 =</t>
  </si>
  <si>
    <t>Docking 20 points from Uniqueness due to these potential conflicts</t>
  </si>
  <si>
    <t>Overall</t>
  </si>
  <si>
    <t>Completeness</t>
  </si>
  <si>
    <t>Uniqueness</t>
  </si>
  <si>
    <t>Validity</t>
  </si>
  <si>
    <t>Consistency</t>
  </si>
  <si>
    <t>Timeliness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</si>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</sst>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</font>
    <font>
      <sz val="10"/>
      <color theme="1"/>
      <name val="Arial"/>
      <family val="2"/>
    </font>
    <font>
      <b/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09AF7-BA21-3044-B250-AA157C1F8A65}">
  <dimension ref="A1:B7"/>
  <sheetViews>
    <sheetView tabSelected="1" workbookViewId="0">
      <selection activeCell="B2" sqref="B2"/>
    </sheetView>
  </sheetViews>
  <sheetFormatPr baseColWidth="10" defaultRowHeight="16" x14ac:dyDescent="0.2"/>
  <sheetData>
    <row r="1" spans="1:2" x14ac:dyDescent="0.2">
      <c r="A1" s="3" t="s">
        <v>438</v>
      </c>
      <c r="B1" s="3">
        <f>AVERAGE(B2:B7)</f>
        <v>0.82</v>
      </c>
    </row>
    <row r="2" spans="1:2" x14ac:dyDescent="0.2">
      <c r="A2" s="1" t="s">
        <v>439</v>
      </c>
      <c r="B2" s="1">
        <v>0.84</v>
      </c>
    </row>
    <row r="3" spans="1:2" x14ac:dyDescent="0.2">
      <c r="A3" s="1" t="s">
        <v>440</v>
      </c>
      <c r="B3" s="1">
        <v>0.8</v>
      </c>
    </row>
    <row r="4" spans="1:2" x14ac:dyDescent="0.2">
      <c r="A4" s="1" t="s">
        <v>441</v>
      </c>
      <c r="B4" s="1">
        <v>0.69</v>
      </c>
    </row>
    <row r="5" spans="1:2" x14ac:dyDescent="0.2">
      <c r="A5" s="1" t="s">
        <v>442</v>
      </c>
      <c r="B5" s="1">
        <v>1</v>
      </c>
    </row>
    <row r="6" spans="1:2" x14ac:dyDescent="0.2">
      <c r="A6" s="1" t="s">
        <v>443</v>
      </c>
      <c r="B6" s="1">
        <v>0.69</v>
      </c>
    </row>
    <row r="7" spans="1:2" x14ac:dyDescent="0.2">
      <c r="A7" s="1" t="s">
        <v>444</v>
      </c>
      <c r="B7" s="1">
        <v>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5D3A6-BB99-8D4E-ACA9-C7EBFA4C5884}">
  <dimension ref="A1:BF1000"/>
  <sheetViews>
    <sheetView workbookViewId="0">
      <selection activeCell="C14" sqref="C14"/>
    </sheetView>
  </sheetViews>
  <sheetFormatPr baseColWidth="10" defaultRowHeight="16" x14ac:dyDescent="0.2"/>
  <sheetData>
    <row r="1" spans="1:58" x14ac:dyDescent="0.2">
      <c r="A1" s="1" t="s">
        <v>128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  <c r="Q1" s="1" t="s">
        <v>144</v>
      </c>
      <c r="R1" s="1" t="s">
        <v>145</v>
      </c>
      <c r="S1" s="1" t="s">
        <v>146</v>
      </c>
      <c r="T1" s="1" t="s">
        <v>147</v>
      </c>
      <c r="U1" s="1" t="s">
        <v>148</v>
      </c>
      <c r="V1" s="1" t="s">
        <v>149</v>
      </c>
      <c r="W1" s="1" t="s">
        <v>150</v>
      </c>
      <c r="X1" s="1" t="s">
        <v>151</v>
      </c>
      <c r="Y1" s="1" t="s">
        <v>152</v>
      </c>
      <c r="Z1" s="1" t="s">
        <v>153</v>
      </c>
      <c r="AA1" s="1" t="s">
        <v>154</v>
      </c>
      <c r="AB1" s="1" t="s">
        <v>155</v>
      </c>
      <c r="AC1" s="1" t="s">
        <v>156</v>
      </c>
      <c r="AD1" s="1" t="s">
        <v>157</v>
      </c>
      <c r="AE1" s="1" t="s">
        <v>158</v>
      </c>
      <c r="AF1" s="1" t="s">
        <v>159</v>
      </c>
      <c r="AG1" s="1" t="s">
        <v>160</v>
      </c>
      <c r="AH1" s="1" t="s">
        <v>161</v>
      </c>
      <c r="AI1" s="1" t="s">
        <v>162</v>
      </c>
      <c r="AJ1" s="1" t="s">
        <v>163</v>
      </c>
      <c r="AK1" s="1" t="s">
        <v>164</v>
      </c>
      <c r="AL1" s="1" t="s">
        <v>165</v>
      </c>
      <c r="AM1" s="1" t="s">
        <v>166</v>
      </c>
      <c r="AN1" s="1" t="s">
        <v>167</v>
      </c>
      <c r="AO1" s="1" t="s">
        <v>168</v>
      </c>
      <c r="AP1" s="1" t="s">
        <v>169</v>
      </c>
      <c r="AQ1" s="1" t="s">
        <v>170</v>
      </c>
      <c r="AR1" s="1" t="s">
        <v>171</v>
      </c>
      <c r="AS1" s="1" t="s">
        <v>172</v>
      </c>
      <c r="AT1" s="1" t="s">
        <v>173</v>
      </c>
      <c r="AU1" s="1" t="s">
        <v>174</v>
      </c>
      <c r="AV1" s="1" t="s">
        <v>175</v>
      </c>
      <c r="AW1" s="1" t="s">
        <v>176</v>
      </c>
      <c r="AX1" s="1" t="s">
        <v>177</v>
      </c>
      <c r="AY1" s="1" t="s">
        <v>178</v>
      </c>
      <c r="AZ1" s="1" t="s">
        <v>179</v>
      </c>
      <c r="BA1" s="1" t="s">
        <v>180</v>
      </c>
      <c r="BB1" s="1" t="s">
        <v>181</v>
      </c>
      <c r="BC1" s="1" t="s">
        <v>182</v>
      </c>
      <c r="BD1" s="1" t="s">
        <v>183</v>
      </c>
      <c r="BE1" s="1" t="s">
        <v>184</v>
      </c>
      <c r="BF1" s="1" t="s">
        <v>185</v>
      </c>
    </row>
    <row r="2" spans="1:58" x14ac:dyDescent="0.2">
      <c r="A2" s="1">
        <v>237</v>
      </c>
      <c r="B2" s="1">
        <v>1</v>
      </c>
      <c r="C2" s="1">
        <v>1</v>
      </c>
      <c r="D2" s="1">
        <v>1</v>
      </c>
      <c r="E2" s="1">
        <v>1</v>
      </c>
      <c r="F2" s="1">
        <v>0.94514768000000005</v>
      </c>
      <c r="G2" s="1">
        <v>0.94514768000000005</v>
      </c>
      <c r="H2" s="1">
        <v>0.94514768000000005</v>
      </c>
      <c r="I2" s="1">
        <v>0.93670885999999998</v>
      </c>
      <c r="J2" s="1">
        <v>0.93670885999999998</v>
      </c>
      <c r="K2" s="1">
        <v>0.92827004000000002</v>
      </c>
      <c r="L2" s="1">
        <v>0.92827004000000002</v>
      </c>
      <c r="M2" s="1">
        <v>0.92827004000000002</v>
      </c>
      <c r="N2" s="1">
        <v>0.99578058999999997</v>
      </c>
      <c r="O2" s="1">
        <v>0.99578058999999997</v>
      </c>
      <c r="P2" s="1">
        <v>0.64556961999999996</v>
      </c>
      <c r="Q2" s="1">
        <v>0.64556961999999996</v>
      </c>
      <c r="R2" s="1">
        <v>0.64556961999999996</v>
      </c>
      <c r="S2" s="1">
        <v>0.92827004000000002</v>
      </c>
      <c r="T2" s="1">
        <v>0.92827004000000002</v>
      </c>
      <c r="U2" s="1">
        <v>0.92827004000000002</v>
      </c>
      <c r="V2" s="1">
        <v>0.87341771999999995</v>
      </c>
      <c r="W2" s="1">
        <v>0.86919831000000003</v>
      </c>
      <c r="X2" s="1">
        <v>0.87341771999999995</v>
      </c>
      <c r="Y2" s="1">
        <v>0.88185654000000002</v>
      </c>
      <c r="Z2" s="1">
        <v>0.88185654000000002</v>
      </c>
      <c r="AA2" s="1">
        <v>0.89873418000000005</v>
      </c>
      <c r="AB2" s="1">
        <v>0.89873418000000005</v>
      </c>
      <c r="AC2" s="1">
        <v>0.91139241000000004</v>
      </c>
      <c r="AD2" s="1">
        <v>0.91139241000000004</v>
      </c>
      <c r="AE2" s="1">
        <v>0.91139241000000004</v>
      </c>
      <c r="AF2" s="1">
        <v>0.91139241000000004</v>
      </c>
      <c r="AG2" s="1">
        <v>0.98312235999999997</v>
      </c>
      <c r="AH2" s="1">
        <v>0.98312235999999997</v>
      </c>
      <c r="AI2" s="1">
        <v>0.98312235999999997</v>
      </c>
      <c r="AJ2" s="1">
        <v>0.83122362999999999</v>
      </c>
      <c r="AK2" s="1">
        <v>0.83122362999999999</v>
      </c>
      <c r="AL2" s="1">
        <v>0.70042194000000002</v>
      </c>
      <c r="AM2" s="1">
        <v>0.70042194000000002</v>
      </c>
      <c r="AN2" s="1">
        <v>0.78481012999999999</v>
      </c>
      <c r="AO2" s="1">
        <v>0.78481012999999999</v>
      </c>
      <c r="AP2" s="1">
        <v>0.90717300000000001</v>
      </c>
      <c r="AQ2" s="1">
        <v>0.90717300000000001</v>
      </c>
      <c r="AR2" s="1">
        <v>0.90717300000000001</v>
      </c>
      <c r="AS2" s="1">
        <v>0.89029535999999998</v>
      </c>
      <c r="AT2" s="1">
        <v>0.89029535999999998</v>
      </c>
      <c r="AU2" s="1">
        <v>0.89029535999999998</v>
      </c>
      <c r="AV2" s="1">
        <v>0.82278481000000003</v>
      </c>
      <c r="AW2" s="1">
        <v>0.82278481000000003</v>
      </c>
      <c r="AX2" s="1">
        <v>0.82278481000000003</v>
      </c>
      <c r="AY2" s="1">
        <v>0</v>
      </c>
      <c r="AZ2" s="1">
        <v>0.46413502000000001</v>
      </c>
      <c r="BA2" s="1">
        <v>0</v>
      </c>
      <c r="BB2" s="1">
        <v>0.97468354000000001</v>
      </c>
      <c r="BC2" s="1">
        <v>0.83122362999999999</v>
      </c>
      <c r="BD2" s="1">
        <v>0.71308017000000001</v>
      </c>
      <c r="BE2" s="1">
        <v>0.71308017000000001</v>
      </c>
      <c r="BF2" s="1">
        <v>0.71308017000000001</v>
      </c>
    </row>
    <row r="3" spans="1:58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 spans="1:58" x14ac:dyDescent="0.2">
      <c r="A4" s="2"/>
      <c r="B4" s="1" t="s">
        <v>6</v>
      </c>
      <c r="C4" s="1">
        <v>0.84003256999999998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</row>
    <row r="5" spans="1:58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</row>
    <row r="6" spans="1:58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</row>
    <row r="7" spans="1:58" x14ac:dyDescent="0.2">
      <c r="A7" s="2"/>
      <c r="B7" s="2"/>
      <c r="C7" s="3" t="s">
        <v>186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</row>
    <row r="8" spans="1:58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</row>
    <row r="9" spans="1:58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</row>
    <row r="10" spans="1:58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</row>
    <row r="11" spans="1:58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</row>
    <row r="12" spans="1:58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</row>
    <row r="13" spans="1:58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</row>
    <row r="14" spans="1:58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</row>
    <row r="15" spans="1:58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</row>
    <row r="16" spans="1:58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</row>
    <row r="17" spans="1:58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</row>
    <row r="18" spans="1:58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</row>
    <row r="19" spans="1:58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</row>
    <row r="20" spans="1:58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</row>
    <row r="21" spans="1:58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</row>
    <row r="22" spans="1:58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</row>
    <row r="23" spans="1:58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</row>
    <row r="24" spans="1:58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</row>
    <row r="25" spans="1:58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</row>
    <row r="26" spans="1:58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</row>
    <row r="27" spans="1:58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</row>
    <row r="28" spans="1:58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</row>
    <row r="29" spans="1:58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</row>
    <row r="30" spans="1:58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</row>
    <row r="31" spans="1:58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</row>
    <row r="32" spans="1:58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</row>
    <row r="33" spans="1:58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</row>
    <row r="34" spans="1:58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</row>
    <row r="35" spans="1:58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</row>
    <row r="36" spans="1:58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</row>
    <row r="37" spans="1:58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</row>
    <row r="38" spans="1:58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</row>
    <row r="39" spans="1:58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</row>
    <row r="40" spans="1:58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</row>
    <row r="41" spans="1:58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</row>
    <row r="42" spans="1:58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</row>
    <row r="43" spans="1:58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</row>
    <row r="44" spans="1:58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</row>
    <row r="45" spans="1:58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</row>
    <row r="46" spans="1:58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</row>
    <row r="47" spans="1:58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</row>
    <row r="48" spans="1:58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</row>
    <row r="49" spans="1:58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</row>
    <row r="50" spans="1:58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</row>
    <row r="51" spans="1:58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</row>
    <row r="52" spans="1:58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</row>
    <row r="53" spans="1:58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</row>
    <row r="54" spans="1:58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</row>
    <row r="55" spans="1:58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</row>
    <row r="56" spans="1:58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</row>
    <row r="57" spans="1:58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</row>
    <row r="58" spans="1:58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</row>
    <row r="59" spans="1:58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</row>
    <row r="60" spans="1:58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</row>
    <row r="61" spans="1:58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</row>
    <row r="62" spans="1:58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</row>
    <row r="63" spans="1:58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</row>
    <row r="64" spans="1:58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</row>
    <row r="65" spans="1:58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</row>
    <row r="66" spans="1:58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</row>
    <row r="67" spans="1:58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</row>
    <row r="68" spans="1:58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</row>
    <row r="69" spans="1:58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</row>
    <row r="70" spans="1:58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</row>
    <row r="71" spans="1:58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</row>
    <row r="72" spans="1:58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</row>
    <row r="73" spans="1:58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</row>
    <row r="74" spans="1:58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</row>
    <row r="75" spans="1:58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</row>
    <row r="76" spans="1:58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</row>
    <row r="77" spans="1:58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</row>
    <row r="78" spans="1:58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</row>
    <row r="79" spans="1:58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</row>
    <row r="80" spans="1:58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</row>
    <row r="81" spans="1:58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</row>
    <row r="82" spans="1:58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</row>
    <row r="83" spans="1:58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</row>
    <row r="84" spans="1:58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</row>
    <row r="85" spans="1:58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</row>
    <row r="86" spans="1:58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</row>
    <row r="87" spans="1:58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</row>
    <row r="88" spans="1:58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</row>
    <row r="89" spans="1:58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</row>
    <row r="90" spans="1:58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</row>
    <row r="91" spans="1:58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</row>
    <row r="92" spans="1:58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</row>
    <row r="93" spans="1:58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</row>
    <row r="94" spans="1:58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</row>
    <row r="95" spans="1:58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</row>
    <row r="96" spans="1:58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</row>
    <row r="97" spans="1:58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</row>
    <row r="98" spans="1:58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</row>
    <row r="99" spans="1:58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</row>
    <row r="100" spans="1:58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</row>
    <row r="101" spans="1:58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</row>
    <row r="102" spans="1:58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</row>
    <row r="103" spans="1:58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</row>
    <row r="104" spans="1:58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</row>
    <row r="105" spans="1:58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</row>
    <row r="106" spans="1:58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</row>
    <row r="107" spans="1:58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</row>
    <row r="108" spans="1:58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</row>
    <row r="109" spans="1:58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</row>
    <row r="110" spans="1:58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</row>
    <row r="111" spans="1:58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</row>
    <row r="112" spans="1:58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</row>
    <row r="113" spans="1:58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</row>
    <row r="114" spans="1:58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</row>
    <row r="115" spans="1:58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</row>
    <row r="116" spans="1:58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</row>
    <row r="117" spans="1:58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</row>
    <row r="118" spans="1:58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</row>
    <row r="119" spans="1:58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</row>
    <row r="120" spans="1:58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</row>
    <row r="121" spans="1:58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</row>
    <row r="122" spans="1:58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</row>
    <row r="123" spans="1:58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</row>
    <row r="124" spans="1:58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</row>
    <row r="125" spans="1:58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</row>
    <row r="126" spans="1:58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</row>
    <row r="127" spans="1:58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</row>
    <row r="128" spans="1:58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</row>
    <row r="129" spans="1:58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</row>
    <row r="130" spans="1:58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</row>
    <row r="131" spans="1:58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</row>
    <row r="132" spans="1:58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</row>
    <row r="133" spans="1:58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</row>
    <row r="134" spans="1:58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</row>
    <row r="135" spans="1:58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</row>
    <row r="136" spans="1:58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</row>
    <row r="137" spans="1:58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</row>
    <row r="138" spans="1:58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</row>
    <row r="139" spans="1:58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</row>
    <row r="140" spans="1:58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</row>
    <row r="141" spans="1:58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</row>
    <row r="142" spans="1:58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</row>
    <row r="143" spans="1:58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</row>
    <row r="144" spans="1:58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</row>
    <row r="145" spans="1:58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</row>
    <row r="146" spans="1:58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</row>
    <row r="147" spans="1:58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</row>
    <row r="148" spans="1:58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</row>
    <row r="149" spans="1:58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</row>
    <row r="150" spans="1:58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</row>
    <row r="151" spans="1:58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</row>
    <row r="152" spans="1:58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</row>
    <row r="153" spans="1:58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</row>
    <row r="154" spans="1:58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</row>
    <row r="155" spans="1:58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</row>
    <row r="156" spans="1:58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</row>
    <row r="157" spans="1:58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</row>
    <row r="158" spans="1:58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</row>
    <row r="159" spans="1:58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</row>
    <row r="160" spans="1:58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</row>
    <row r="161" spans="1:58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</row>
    <row r="162" spans="1:58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</row>
    <row r="163" spans="1:58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</row>
    <row r="164" spans="1:58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</row>
    <row r="165" spans="1:58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</row>
    <row r="166" spans="1:58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</row>
    <row r="167" spans="1:58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</row>
    <row r="168" spans="1:58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</row>
    <row r="169" spans="1:58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</row>
    <row r="170" spans="1:58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</row>
    <row r="171" spans="1:58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</row>
    <row r="172" spans="1:58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</row>
    <row r="173" spans="1:58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</row>
    <row r="174" spans="1:58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</row>
    <row r="175" spans="1:58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</row>
    <row r="176" spans="1:58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</row>
    <row r="177" spans="1:58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</row>
    <row r="178" spans="1:58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</row>
    <row r="179" spans="1:58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</row>
    <row r="180" spans="1:58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</row>
    <row r="181" spans="1:58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</row>
    <row r="182" spans="1:58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</row>
    <row r="183" spans="1:58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</row>
    <row r="184" spans="1:58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</row>
    <row r="185" spans="1:58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</row>
    <row r="186" spans="1:58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</row>
    <row r="187" spans="1:58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</row>
    <row r="188" spans="1:58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</row>
    <row r="189" spans="1:58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</row>
    <row r="190" spans="1:58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</row>
    <row r="191" spans="1:58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</row>
    <row r="192" spans="1:58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</row>
    <row r="193" spans="1:58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</row>
    <row r="194" spans="1:58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</row>
    <row r="195" spans="1:58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</row>
    <row r="196" spans="1:58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</row>
    <row r="197" spans="1:58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</row>
    <row r="198" spans="1:58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</row>
    <row r="199" spans="1:58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</row>
    <row r="200" spans="1:58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</row>
    <row r="201" spans="1:58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</row>
    <row r="202" spans="1:58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</row>
    <row r="203" spans="1:58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</row>
    <row r="204" spans="1:58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</row>
    <row r="205" spans="1:58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</row>
    <row r="206" spans="1:58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</row>
    <row r="207" spans="1:58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</row>
    <row r="208" spans="1:58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</row>
    <row r="209" spans="1:58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</row>
    <row r="210" spans="1:58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</row>
    <row r="211" spans="1:58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</row>
    <row r="212" spans="1:58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</row>
    <row r="213" spans="1:58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</row>
    <row r="214" spans="1:58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</row>
    <row r="215" spans="1:58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</row>
    <row r="216" spans="1:58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</row>
    <row r="217" spans="1:58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</row>
    <row r="218" spans="1:58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</row>
    <row r="219" spans="1:58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</row>
    <row r="220" spans="1:58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</row>
    <row r="221" spans="1:58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</row>
    <row r="222" spans="1:58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</row>
    <row r="223" spans="1:58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</row>
    <row r="224" spans="1:58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</row>
    <row r="225" spans="1:58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</row>
    <row r="226" spans="1:58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</row>
    <row r="227" spans="1:58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</row>
    <row r="228" spans="1:58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</row>
    <row r="229" spans="1:58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</row>
    <row r="230" spans="1:58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</row>
    <row r="231" spans="1:58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</row>
    <row r="232" spans="1:58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</row>
    <row r="233" spans="1:58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</row>
    <row r="234" spans="1:58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</row>
    <row r="235" spans="1:58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</row>
    <row r="236" spans="1:58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</row>
    <row r="237" spans="1:58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</row>
    <row r="238" spans="1:58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</row>
    <row r="239" spans="1:58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</row>
    <row r="240" spans="1:58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</row>
    <row r="241" spans="1:58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</row>
    <row r="242" spans="1:58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</row>
    <row r="243" spans="1:58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</row>
    <row r="244" spans="1:58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</row>
    <row r="245" spans="1:58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</row>
    <row r="246" spans="1:58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</row>
    <row r="247" spans="1:58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</row>
    <row r="248" spans="1:58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</row>
    <row r="249" spans="1:58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</row>
    <row r="250" spans="1:58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</row>
    <row r="251" spans="1:58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</row>
    <row r="252" spans="1:58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</row>
    <row r="253" spans="1:58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</row>
    <row r="254" spans="1:58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</row>
    <row r="255" spans="1:58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</row>
    <row r="256" spans="1:58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</row>
    <row r="257" spans="1:58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</row>
    <row r="258" spans="1:58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</row>
    <row r="259" spans="1:58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</row>
    <row r="260" spans="1:58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</row>
    <row r="261" spans="1:58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</row>
    <row r="262" spans="1:58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</row>
    <row r="263" spans="1:58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</row>
    <row r="264" spans="1:58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</row>
    <row r="265" spans="1:58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</row>
    <row r="266" spans="1:58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</row>
    <row r="267" spans="1:58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</row>
    <row r="268" spans="1:58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</row>
    <row r="269" spans="1:58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</row>
    <row r="270" spans="1:58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</row>
    <row r="271" spans="1:58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</row>
    <row r="272" spans="1:58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</row>
    <row r="273" spans="1:58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</row>
    <row r="274" spans="1:58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</row>
    <row r="275" spans="1:58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</row>
    <row r="276" spans="1:58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</row>
    <row r="277" spans="1:58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</row>
    <row r="278" spans="1:58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</row>
    <row r="279" spans="1:58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</row>
    <row r="280" spans="1:58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</row>
    <row r="281" spans="1:58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</row>
    <row r="282" spans="1:58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</row>
    <row r="283" spans="1:58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</row>
    <row r="284" spans="1:58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</row>
    <row r="285" spans="1:58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</row>
    <row r="286" spans="1:58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</row>
    <row r="287" spans="1:58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</row>
    <row r="288" spans="1:58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</row>
    <row r="289" spans="1:58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</row>
    <row r="290" spans="1:58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</row>
    <row r="291" spans="1:58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</row>
    <row r="292" spans="1:58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</row>
    <row r="293" spans="1:58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</row>
    <row r="294" spans="1:58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</row>
    <row r="295" spans="1:58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</row>
    <row r="296" spans="1:58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</row>
    <row r="297" spans="1:58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</row>
    <row r="298" spans="1:58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</row>
    <row r="299" spans="1:58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</row>
    <row r="300" spans="1:58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</row>
    <row r="301" spans="1:58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</row>
    <row r="302" spans="1:58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</row>
    <row r="303" spans="1:58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</row>
    <row r="304" spans="1:58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</row>
    <row r="305" spans="1:58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</row>
    <row r="306" spans="1:58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</row>
    <row r="307" spans="1:58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</row>
    <row r="308" spans="1:58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</row>
    <row r="309" spans="1:58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</row>
    <row r="310" spans="1:58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</row>
    <row r="311" spans="1:58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</row>
    <row r="312" spans="1:58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</row>
    <row r="313" spans="1:58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</row>
    <row r="314" spans="1:58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</row>
    <row r="315" spans="1:58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</row>
    <row r="316" spans="1:58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</row>
    <row r="317" spans="1:58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</row>
    <row r="318" spans="1:58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</row>
    <row r="319" spans="1:58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</row>
    <row r="320" spans="1:58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</row>
    <row r="321" spans="1:58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</row>
    <row r="322" spans="1:58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</row>
    <row r="323" spans="1:58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</row>
    <row r="324" spans="1:58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</row>
    <row r="325" spans="1:58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</row>
    <row r="326" spans="1:58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</row>
    <row r="327" spans="1:58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</row>
    <row r="328" spans="1:58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</row>
    <row r="329" spans="1:58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</row>
    <row r="330" spans="1:58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</row>
    <row r="331" spans="1:58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</row>
    <row r="332" spans="1:58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</row>
    <row r="333" spans="1:58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</row>
    <row r="334" spans="1:58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</row>
    <row r="335" spans="1:58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</row>
    <row r="336" spans="1:58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</row>
    <row r="337" spans="1:58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</row>
    <row r="338" spans="1:58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</row>
    <row r="339" spans="1:58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</row>
    <row r="340" spans="1:58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</row>
    <row r="341" spans="1:58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</row>
    <row r="342" spans="1:58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</row>
    <row r="343" spans="1:58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</row>
    <row r="344" spans="1:58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</row>
    <row r="345" spans="1:58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</row>
    <row r="346" spans="1:58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</row>
    <row r="347" spans="1:58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</row>
    <row r="348" spans="1:58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</row>
    <row r="349" spans="1:58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</row>
    <row r="350" spans="1:58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</row>
    <row r="351" spans="1:58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</row>
    <row r="352" spans="1:58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</row>
    <row r="353" spans="1:58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</row>
    <row r="354" spans="1:58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</row>
    <row r="355" spans="1:58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</row>
    <row r="356" spans="1:58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</row>
    <row r="357" spans="1:58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</row>
    <row r="358" spans="1:58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</row>
    <row r="359" spans="1:58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</row>
    <row r="360" spans="1:58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</row>
    <row r="361" spans="1:58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</row>
    <row r="362" spans="1:58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</row>
    <row r="363" spans="1:58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</row>
    <row r="364" spans="1:58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</row>
    <row r="365" spans="1:58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</row>
    <row r="366" spans="1:58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</row>
    <row r="367" spans="1:58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</row>
    <row r="368" spans="1:58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</row>
    <row r="369" spans="1:58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</row>
    <row r="370" spans="1:58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</row>
    <row r="371" spans="1:58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</row>
    <row r="372" spans="1:58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</row>
    <row r="373" spans="1:58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</row>
    <row r="374" spans="1:58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</row>
    <row r="375" spans="1:58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</row>
    <row r="376" spans="1:58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</row>
    <row r="377" spans="1:58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</row>
    <row r="378" spans="1:58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</row>
    <row r="379" spans="1:58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</row>
    <row r="380" spans="1:58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</row>
    <row r="381" spans="1:58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</row>
    <row r="382" spans="1:58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</row>
    <row r="383" spans="1:58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</row>
    <row r="384" spans="1:58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</row>
    <row r="385" spans="1:58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</row>
    <row r="386" spans="1:58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</row>
    <row r="387" spans="1:58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</row>
    <row r="388" spans="1:58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</row>
    <row r="389" spans="1:58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</row>
    <row r="390" spans="1:58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</row>
    <row r="391" spans="1:58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</row>
    <row r="392" spans="1:58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</row>
    <row r="393" spans="1:58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</row>
    <row r="394" spans="1:58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</row>
    <row r="395" spans="1:58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</row>
    <row r="396" spans="1:58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</row>
    <row r="397" spans="1:58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</row>
    <row r="398" spans="1:58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</row>
    <row r="399" spans="1:58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</row>
    <row r="400" spans="1:58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</row>
    <row r="401" spans="1:58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</row>
    <row r="402" spans="1:58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</row>
    <row r="403" spans="1:58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</row>
    <row r="404" spans="1:58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</row>
    <row r="405" spans="1:58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</row>
    <row r="406" spans="1:58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</row>
    <row r="407" spans="1:58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</row>
    <row r="408" spans="1:58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</row>
    <row r="409" spans="1:58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</row>
    <row r="410" spans="1:58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</row>
    <row r="411" spans="1:58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</row>
    <row r="412" spans="1:58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</row>
    <row r="413" spans="1:58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</row>
    <row r="414" spans="1:58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</row>
    <row r="415" spans="1:58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</row>
    <row r="416" spans="1:58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</row>
    <row r="417" spans="1:58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</row>
    <row r="418" spans="1:58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</row>
    <row r="419" spans="1:58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</row>
    <row r="420" spans="1:58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</row>
    <row r="421" spans="1:58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</row>
    <row r="422" spans="1:58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</row>
    <row r="423" spans="1:58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</row>
    <row r="424" spans="1:58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</row>
    <row r="425" spans="1:58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</row>
    <row r="426" spans="1:58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</row>
    <row r="427" spans="1:58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</row>
    <row r="428" spans="1:58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</row>
    <row r="429" spans="1:58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</row>
    <row r="430" spans="1:58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</row>
    <row r="431" spans="1:58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</row>
    <row r="432" spans="1:58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</row>
    <row r="433" spans="1:58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</row>
    <row r="434" spans="1:58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</row>
    <row r="435" spans="1:58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</row>
    <row r="436" spans="1:58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</row>
    <row r="437" spans="1:58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</row>
    <row r="438" spans="1:58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</row>
    <row r="439" spans="1:58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</row>
    <row r="440" spans="1:58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</row>
    <row r="441" spans="1:58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</row>
    <row r="442" spans="1:58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</row>
    <row r="443" spans="1:58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</row>
    <row r="444" spans="1:58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</row>
    <row r="445" spans="1:58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</row>
    <row r="446" spans="1:58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</row>
    <row r="447" spans="1:58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</row>
    <row r="448" spans="1:58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</row>
    <row r="449" spans="1:58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</row>
    <row r="450" spans="1:58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</row>
    <row r="451" spans="1:58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</row>
    <row r="452" spans="1:58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</row>
    <row r="453" spans="1:58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</row>
    <row r="454" spans="1:58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</row>
    <row r="455" spans="1:58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</row>
    <row r="456" spans="1:58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</row>
    <row r="457" spans="1:58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</row>
    <row r="458" spans="1:58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</row>
    <row r="459" spans="1:58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</row>
    <row r="460" spans="1:58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</row>
    <row r="461" spans="1:58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</row>
    <row r="462" spans="1:58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</row>
    <row r="463" spans="1:58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</row>
    <row r="464" spans="1:58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</row>
    <row r="465" spans="1:58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</row>
    <row r="466" spans="1:58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</row>
    <row r="467" spans="1:58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</row>
    <row r="468" spans="1:58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</row>
    <row r="469" spans="1:58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</row>
    <row r="470" spans="1:58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</row>
    <row r="471" spans="1:58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</row>
    <row r="472" spans="1:58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</row>
    <row r="473" spans="1:58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</row>
    <row r="474" spans="1:58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</row>
    <row r="475" spans="1:58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</row>
    <row r="476" spans="1:58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</row>
    <row r="477" spans="1:58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</row>
    <row r="478" spans="1:58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</row>
    <row r="479" spans="1:58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</row>
    <row r="480" spans="1:58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</row>
    <row r="481" spans="1:58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</row>
    <row r="482" spans="1:58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</row>
    <row r="483" spans="1:58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</row>
    <row r="484" spans="1:58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</row>
    <row r="485" spans="1:58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</row>
    <row r="486" spans="1:58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</row>
    <row r="487" spans="1:58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</row>
    <row r="488" spans="1:58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</row>
    <row r="489" spans="1:58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</row>
    <row r="490" spans="1:58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</row>
    <row r="491" spans="1:58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</row>
    <row r="492" spans="1:58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</row>
    <row r="493" spans="1:58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</row>
    <row r="494" spans="1:58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</row>
    <row r="495" spans="1:58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</row>
    <row r="496" spans="1:58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</row>
    <row r="497" spans="1:58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</row>
    <row r="498" spans="1:58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</row>
    <row r="499" spans="1:58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</row>
    <row r="500" spans="1:58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</row>
    <row r="501" spans="1:58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</row>
    <row r="502" spans="1:58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</row>
    <row r="503" spans="1:58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</row>
    <row r="504" spans="1:58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</row>
    <row r="505" spans="1:58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</row>
    <row r="506" spans="1:58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</row>
    <row r="507" spans="1:58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</row>
    <row r="508" spans="1:58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</row>
    <row r="509" spans="1:58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</row>
    <row r="510" spans="1:58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</row>
    <row r="511" spans="1:58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</row>
    <row r="512" spans="1:58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</row>
    <row r="513" spans="1:58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</row>
    <row r="514" spans="1:58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</row>
    <row r="515" spans="1:58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</row>
    <row r="516" spans="1:58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</row>
    <row r="517" spans="1:58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</row>
    <row r="518" spans="1:58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</row>
    <row r="519" spans="1:58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</row>
    <row r="520" spans="1:58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</row>
    <row r="521" spans="1:58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</row>
    <row r="522" spans="1:58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</row>
    <row r="523" spans="1:58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</row>
    <row r="524" spans="1:58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</row>
    <row r="525" spans="1:58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</row>
    <row r="526" spans="1:58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</row>
    <row r="527" spans="1:58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</row>
    <row r="528" spans="1:58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</row>
    <row r="529" spans="1:58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</row>
    <row r="530" spans="1:58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</row>
    <row r="531" spans="1:58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</row>
    <row r="532" spans="1:58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</row>
    <row r="533" spans="1:58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</row>
    <row r="534" spans="1:58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</row>
    <row r="535" spans="1:58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</row>
    <row r="536" spans="1:58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</row>
    <row r="537" spans="1:58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</row>
    <row r="538" spans="1:58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</row>
    <row r="539" spans="1:58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</row>
    <row r="540" spans="1:58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</row>
    <row r="541" spans="1:58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</row>
    <row r="542" spans="1:58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</row>
    <row r="544" spans="1:58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</row>
    <row r="546" spans="1:58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</row>
    <row r="548" spans="1:58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</row>
    <row r="550" spans="1:58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</row>
    <row r="552" spans="1:58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</row>
    <row r="554" spans="1:58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</row>
    <row r="556" spans="1:58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</row>
    <row r="558" spans="1:58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</row>
    <row r="560" spans="1:58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</row>
    <row r="562" spans="1:58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</row>
    <row r="564" spans="1:58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</row>
    <row r="566" spans="1:58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</row>
    <row r="568" spans="1:58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</row>
    <row r="569" spans="1:58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</row>
    <row r="570" spans="1:58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</row>
    <row r="571" spans="1:58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</row>
    <row r="572" spans="1:58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</row>
    <row r="573" spans="1:58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</row>
    <row r="574" spans="1:58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</row>
    <row r="575" spans="1:58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</row>
    <row r="576" spans="1:58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</row>
    <row r="577" spans="1:58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</row>
    <row r="578" spans="1:58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</row>
    <row r="579" spans="1:58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</row>
    <row r="580" spans="1:58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</row>
    <row r="581" spans="1:58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</row>
    <row r="582" spans="1:58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</row>
    <row r="583" spans="1:58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</row>
    <row r="584" spans="1:58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</row>
    <row r="585" spans="1:58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</row>
    <row r="586" spans="1:58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</row>
    <row r="587" spans="1:58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</row>
    <row r="588" spans="1:58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</row>
    <row r="590" spans="1:58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</row>
    <row r="592" spans="1:58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</row>
    <row r="594" spans="1:58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</row>
    <row r="596" spans="1:58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</row>
    <row r="598" spans="1:58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</row>
    <row r="600" spans="1:58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</row>
    <row r="602" spans="1:58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</row>
    <row r="604" spans="1:58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</row>
    <row r="606" spans="1:58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</row>
    <row r="608" spans="1:58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</row>
    <row r="610" spans="1:58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</row>
    <row r="612" spans="1:58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</row>
    <row r="614" spans="1:58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</row>
    <row r="616" spans="1:58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</row>
    <row r="618" spans="1:58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</row>
    <row r="620" spans="1:58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</row>
    <row r="622" spans="1:58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</row>
    <row r="624" spans="1:58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</row>
    <row r="626" spans="1:58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</row>
    <row r="627" spans="1:58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</row>
    <row r="628" spans="1:58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</row>
    <row r="629" spans="1:58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</row>
    <row r="630" spans="1:58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</row>
    <row r="631" spans="1:58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</row>
    <row r="632" spans="1:58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</row>
    <row r="633" spans="1:58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</row>
    <row r="634" spans="1:58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</row>
    <row r="635" spans="1:58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</row>
    <row r="636" spans="1:58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</row>
    <row r="637" spans="1:58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</row>
    <row r="638" spans="1:58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</row>
    <row r="639" spans="1:58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</row>
    <row r="640" spans="1:58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</row>
    <row r="641" spans="1:58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</row>
    <row r="642" spans="1:58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</row>
    <row r="643" spans="1:58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</row>
    <row r="644" spans="1:58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</row>
    <row r="645" spans="1:58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</row>
    <row r="646" spans="1:58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</row>
    <row r="647" spans="1:58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</row>
    <row r="648" spans="1:58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</row>
    <row r="649" spans="1:58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</row>
    <row r="650" spans="1:58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</row>
    <row r="651" spans="1:58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</row>
    <row r="652" spans="1:58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</row>
    <row r="653" spans="1:58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</row>
    <row r="654" spans="1:58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</row>
    <row r="655" spans="1:58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</row>
    <row r="656" spans="1:58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</row>
    <row r="657" spans="1:58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</row>
    <row r="658" spans="1:58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</row>
    <row r="659" spans="1:58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</row>
    <row r="660" spans="1:58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</row>
    <row r="661" spans="1:58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</row>
    <row r="662" spans="1:58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</row>
    <row r="663" spans="1:58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</row>
    <row r="664" spans="1:58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</row>
    <row r="665" spans="1:58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</row>
    <row r="666" spans="1:58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</row>
    <row r="667" spans="1:58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</row>
    <row r="668" spans="1:58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</row>
    <row r="669" spans="1:58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</row>
    <row r="670" spans="1:58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</row>
    <row r="671" spans="1:58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</row>
    <row r="672" spans="1:58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</row>
    <row r="673" spans="1:58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</row>
    <row r="674" spans="1:58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</row>
    <row r="675" spans="1:58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</row>
    <row r="676" spans="1:58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</row>
    <row r="677" spans="1:58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</row>
    <row r="678" spans="1:58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</row>
    <row r="679" spans="1:58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</row>
    <row r="680" spans="1:58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</row>
    <row r="681" spans="1:58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</row>
    <row r="682" spans="1:58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</row>
    <row r="683" spans="1:58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</row>
    <row r="684" spans="1:58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</row>
    <row r="685" spans="1:58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</row>
    <row r="686" spans="1:58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</row>
    <row r="687" spans="1:58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</row>
    <row r="688" spans="1:58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</row>
    <row r="689" spans="1:58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</row>
    <row r="690" spans="1:58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</row>
    <row r="691" spans="1:58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</row>
    <row r="692" spans="1:58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</row>
    <row r="693" spans="1:58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</row>
    <row r="694" spans="1:58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</row>
    <row r="695" spans="1:58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</row>
    <row r="696" spans="1:58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</row>
    <row r="697" spans="1:58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</row>
    <row r="698" spans="1:58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</row>
    <row r="699" spans="1:58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</row>
    <row r="700" spans="1:58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</row>
    <row r="701" spans="1:58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</row>
    <row r="702" spans="1:58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</row>
    <row r="703" spans="1:58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</row>
    <row r="704" spans="1:58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</row>
    <row r="705" spans="1:58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</row>
    <row r="706" spans="1:58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</row>
    <row r="707" spans="1:58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</row>
    <row r="708" spans="1:58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</row>
    <row r="709" spans="1:58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</row>
    <row r="710" spans="1:58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</row>
    <row r="711" spans="1:58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</row>
    <row r="712" spans="1:58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</row>
    <row r="713" spans="1:58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</row>
    <row r="714" spans="1:58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</row>
    <row r="715" spans="1:58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</row>
    <row r="716" spans="1:58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</row>
    <row r="717" spans="1:58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</row>
    <row r="718" spans="1:58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</row>
    <row r="719" spans="1:58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</row>
    <row r="720" spans="1:58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</row>
    <row r="721" spans="1:58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</row>
    <row r="722" spans="1:58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</row>
    <row r="723" spans="1:58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</row>
    <row r="724" spans="1:58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</row>
    <row r="725" spans="1:58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</row>
    <row r="726" spans="1:58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</row>
    <row r="727" spans="1:58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</row>
    <row r="728" spans="1:58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</row>
    <row r="729" spans="1:58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</row>
    <row r="730" spans="1:58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</row>
    <row r="731" spans="1:58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</row>
    <row r="732" spans="1:58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</row>
    <row r="733" spans="1:58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</row>
    <row r="734" spans="1:58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</row>
    <row r="735" spans="1:58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</row>
    <row r="736" spans="1:58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</row>
    <row r="737" spans="1:58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</row>
    <row r="738" spans="1:58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</row>
    <row r="739" spans="1:58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</row>
    <row r="740" spans="1:58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</row>
    <row r="741" spans="1:58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</row>
    <row r="742" spans="1:58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</row>
    <row r="743" spans="1:58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</row>
    <row r="744" spans="1:58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</row>
    <row r="745" spans="1:58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</row>
    <row r="746" spans="1:58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</row>
    <row r="747" spans="1:58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</row>
    <row r="748" spans="1:58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</row>
    <row r="749" spans="1:58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</row>
    <row r="750" spans="1:58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</row>
    <row r="751" spans="1:58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</row>
    <row r="752" spans="1:58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</row>
    <row r="753" spans="1:58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</row>
    <row r="754" spans="1:58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</row>
    <row r="755" spans="1:58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</row>
    <row r="756" spans="1:58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</row>
    <row r="757" spans="1:58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</row>
    <row r="758" spans="1:58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</row>
    <row r="759" spans="1:58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</row>
    <row r="760" spans="1:58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</row>
    <row r="761" spans="1:58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</row>
    <row r="762" spans="1:58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</row>
    <row r="763" spans="1:58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</row>
    <row r="764" spans="1:58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</row>
    <row r="765" spans="1:58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</row>
    <row r="766" spans="1:58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</row>
    <row r="767" spans="1:58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</row>
    <row r="768" spans="1:58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</row>
    <row r="769" spans="1:58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</row>
    <row r="770" spans="1:58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</row>
    <row r="771" spans="1:58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</row>
    <row r="772" spans="1:58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</row>
    <row r="773" spans="1:58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</row>
    <row r="774" spans="1:58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</row>
    <row r="775" spans="1:58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</row>
    <row r="776" spans="1:58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</row>
    <row r="777" spans="1:58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</row>
    <row r="778" spans="1:58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</row>
    <row r="779" spans="1:58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</row>
    <row r="780" spans="1:58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</row>
    <row r="781" spans="1:58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</row>
    <row r="782" spans="1:58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</row>
    <row r="783" spans="1:58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</row>
    <row r="784" spans="1:58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</row>
    <row r="785" spans="1:58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</row>
    <row r="786" spans="1:58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</row>
    <row r="787" spans="1:58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</row>
    <row r="788" spans="1:58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</row>
    <row r="789" spans="1:58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</row>
    <row r="790" spans="1:58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</row>
    <row r="791" spans="1:58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</row>
    <row r="792" spans="1:58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</row>
    <row r="793" spans="1:58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</row>
    <row r="794" spans="1:58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</row>
    <row r="795" spans="1:58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</row>
    <row r="796" spans="1:58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</row>
    <row r="797" spans="1:58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</row>
    <row r="798" spans="1:58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</row>
    <row r="799" spans="1:58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</row>
    <row r="800" spans="1:58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</row>
    <row r="801" spans="1:58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</row>
    <row r="802" spans="1:58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</row>
    <row r="803" spans="1:58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</row>
    <row r="804" spans="1:58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</row>
    <row r="805" spans="1:58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</row>
    <row r="806" spans="1:58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</row>
    <row r="807" spans="1:58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</row>
    <row r="808" spans="1:58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</row>
    <row r="809" spans="1:58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</row>
    <row r="810" spans="1:58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</row>
    <row r="811" spans="1:58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</row>
    <row r="812" spans="1:58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</row>
    <row r="813" spans="1:58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</row>
    <row r="814" spans="1:58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</row>
    <row r="815" spans="1:58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</row>
    <row r="816" spans="1:58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</row>
    <row r="817" spans="1:58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</row>
    <row r="818" spans="1:58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</row>
    <row r="819" spans="1:58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</row>
    <row r="820" spans="1:58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</row>
    <row r="821" spans="1:58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</row>
    <row r="822" spans="1:58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</row>
    <row r="823" spans="1:58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</row>
    <row r="824" spans="1:58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</row>
    <row r="825" spans="1:58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</row>
    <row r="826" spans="1:58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</row>
    <row r="827" spans="1:58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</row>
    <row r="828" spans="1:58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</row>
    <row r="829" spans="1:58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</row>
    <row r="830" spans="1:58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</row>
    <row r="831" spans="1:58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</row>
    <row r="832" spans="1:58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</row>
    <row r="833" spans="1:58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</row>
    <row r="834" spans="1:58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</row>
    <row r="835" spans="1:58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</row>
    <row r="836" spans="1:58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</row>
    <row r="837" spans="1:58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</row>
    <row r="838" spans="1:58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</row>
    <row r="839" spans="1:58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</row>
    <row r="840" spans="1:58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</row>
    <row r="841" spans="1:58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</row>
    <row r="842" spans="1:58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</row>
    <row r="843" spans="1:58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</row>
    <row r="844" spans="1:58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</row>
    <row r="845" spans="1:58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</row>
    <row r="846" spans="1:58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</row>
    <row r="847" spans="1:58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</row>
    <row r="848" spans="1:58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</row>
    <row r="849" spans="1:58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</row>
    <row r="850" spans="1:58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</row>
    <row r="851" spans="1:58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</row>
    <row r="852" spans="1:58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</row>
    <row r="853" spans="1:58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</row>
    <row r="854" spans="1:58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</row>
    <row r="855" spans="1:58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</row>
    <row r="856" spans="1:58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</row>
    <row r="857" spans="1:58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</row>
    <row r="858" spans="1:58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</row>
    <row r="859" spans="1:58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</row>
    <row r="860" spans="1:58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</row>
    <row r="861" spans="1:58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</row>
    <row r="862" spans="1:58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</row>
    <row r="863" spans="1:58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</row>
    <row r="864" spans="1:58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</row>
    <row r="865" spans="1:58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</row>
    <row r="866" spans="1:58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</row>
    <row r="867" spans="1:58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</row>
    <row r="868" spans="1:58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</row>
    <row r="869" spans="1:58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</row>
    <row r="870" spans="1:58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</row>
    <row r="871" spans="1:58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</row>
    <row r="872" spans="1:58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</row>
    <row r="873" spans="1:58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</row>
    <row r="874" spans="1:58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</row>
    <row r="875" spans="1:58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</row>
    <row r="876" spans="1:58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</row>
    <row r="877" spans="1:58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</row>
    <row r="878" spans="1:58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</row>
    <row r="879" spans="1:58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</row>
    <row r="880" spans="1:58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</row>
    <row r="881" spans="1:58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</row>
    <row r="882" spans="1:58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</row>
    <row r="883" spans="1:58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</row>
    <row r="884" spans="1:58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</row>
    <row r="885" spans="1:58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</row>
    <row r="886" spans="1:58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</row>
    <row r="887" spans="1:58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</row>
    <row r="888" spans="1:58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</row>
    <row r="889" spans="1:58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</row>
    <row r="890" spans="1:58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</row>
    <row r="891" spans="1:58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</row>
    <row r="892" spans="1:58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</row>
    <row r="893" spans="1:58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</row>
    <row r="894" spans="1:58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</row>
    <row r="895" spans="1:58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</row>
    <row r="896" spans="1:58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</row>
    <row r="897" spans="1:58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</row>
    <row r="898" spans="1:58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</row>
    <row r="899" spans="1:58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</row>
    <row r="900" spans="1:58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</row>
    <row r="901" spans="1:58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</row>
    <row r="902" spans="1:58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</row>
    <row r="903" spans="1:58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</row>
    <row r="904" spans="1:58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</row>
    <row r="905" spans="1:58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</row>
    <row r="906" spans="1:58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</row>
    <row r="907" spans="1:58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</row>
    <row r="908" spans="1:58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</row>
    <row r="909" spans="1:58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</row>
    <row r="910" spans="1:58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</row>
    <row r="911" spans="1:58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</row>
    <row r="912" spans="1:58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</row>
    <row r="913" spans="1:58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</row>
    <row r="914" spans="1:58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</row>
    <row r="915" spans="1:58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</row>
    <row r="916" spans="1:58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</row>
    <row r="917" spans="1:58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</row>
    <row r="918" spans="1:58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</row>
    <row r="919" spans="1:58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</row>
    <row r="920" spans="1:58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</row>
    <row r="921" spans="1:58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</row>
    <row r="922" spans="1:58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</row>
    <row r="923" spans="1:58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</row>
    <row r="924" spans="1:58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</row>
    <row r="925" spans="1:58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</row>
    <row r="926" spans="1:58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</row>
    <row r="927" spans="1:58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</row>
    <row r="928" spans="1:58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</row>
    <row r="929" spans="1:58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</row>
    <row r="930" spans="1:58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</row>
    <row r="931" spans="1:58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</row>
    <row r="932" spans="1:58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</row>
    <row r="933" spans="1:58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</row>
    <row r="934" spans="1:58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</row>
    <row r="935" spans="1:58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</row>
    <row r="936" spans="1:58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</row>
    <row r="937" spans="1:58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</row>
    <row r="938" spans="1:58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</row>
    <row r="939" spans="1:58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</row>
    <row r="940" spans="1:58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</row>
    <row r="941" spans="1:58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</row>
    <row r="942" spans="1:58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</row>
    <row r="943" spans="1:58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</row>
    <row r="944" spans="1:58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</row>
    <row r="945" spans="1:58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</row>
    <row r="946" spans="1:58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</row>
    <row r="947" spans="1:58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</row>
    <row r="948" spans="1:58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</row>
    <row r="949" spans="1:58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</row>
    <row r="950" spans="1:58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</row>
    <row r="951" spans="1:58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</row>
    <row r="952" spans="1:58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</row>
    <row r="953" spans="1:58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</row>
    <row r="954" spans="1:58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</row>
    <row r="955" spans="1:58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</row>
    <row r="956" spans="1:58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</row>
    <row r="957" spans="1:58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</row>
    <row r="958" spans="1:58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</row>
    <row r="959" spans="1:58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</row>
    <row r="960" spans="1:58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</row>
    <row r="961" spans="1:58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</row>
    <row r="962" spans="1:58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</row>
    <row r="963" spans="1:58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</row>
    <row r="964" spans="1:58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</row>
    <row r="965" spans="1:58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</row>
    <row r="966" spans="1:58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</row>
    <row r="967" spans="1:58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</row>
    <row r="968" spans="1:58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</row>
    <row r="969" spans="1:58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</row>
    <row r="970" spans="1:58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</row>
    <row r="971" spans="1:58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</row>
    <row r="972" spans="1:58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</row>
    <row r="973" spans="1:58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</row>
    <row r="974" spans="1:58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</row>
    <row r="975" spans="1:58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</row>
    <row r="976" spans="1:58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</row>
    <row r="977" spans="1:58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</row>
    <row r="978" spans="1:58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</row>
    <row r="979" spans="1:58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</row>
    <row r="980" spans="1:58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</row>
    <row r="981" spans="1:58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</row>
    <row r="982" spans="1:58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</row>
    <row r="983" spans="1:58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</row>
    <row r="984" spans="1:58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</row>
    <row r="985" spans="1:58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</row>
    <row r="986" spans="1:58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</row>
    <row r="987" spans="1:58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</row>
    <row r="988" spans="1:58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</row>
    <row r="989" spans="1:58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</row>
    <row r="990" spans="1:58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</row>
    <row r="991" spans="1:58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</row>
    <row r="992" spans="1:58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</row>
    <row r="993" spans="1:58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</row>
    <row r="994" spans="1:58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</row>
    <row r="995" spans="1:58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</row>
    <row r="996" spans="1:58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</row>
    <row r="997" spans="1:58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</row>
    <row r="998" spans="1:58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</row>
    <row r="999" spans="1:58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</row>
    <row r="1000" spans="1:58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7EE79-B965-4B41-9BFE-05F4374C1D83}">
  <dimension ref="A1:G237"/>
  <sheetViews>
    <sheetView workbookViewId="0">
      <selection activeCell="G2" sqref="G2"/>
    </sheetView>
  </sheetViews>
  <sheetFormatPr baseColWidth="10" defaultRowHeight="16" x14ac:dyDescent="0.2"/>
  <sheetData>
    <row r="1" spans="1:7" x14ac:dyDescent="0.2">
      <c r="A1" s="1" t="s">
        <v>5</v>
      </c>
      <c r="B1" s="1" t="s">
        <v>187</v>
      </c>
      <c r="C1" s="1" t="s">
        <v>188</v>
      </c>
      <c r="D1" s="1" t="s">
        <v>189</v>
      </c>
      <c r="E1" s="2"/>
      <c r="F1" s="2"/>
    </row>
    <row r="2" spans="1:7" x14ac:dyDescent="0.2">
      <c r="A2" s="1" t="s">
        <v>190</v>
      </c>
      <c r="B2" s="1">
        <v>46</v>
      </c>
      <c r="C2" s="1">
        <v>46</v>
      </c>
      <c r="D2" s="1">
        <f>(B2/C2)</f>
        <v>1</v>
      </c>
      <c r="E2" s="2"/>
      <c r="F2" s="1" t="s">
        <v>6</v>
      </c>
      <c r="G2" s="1">
        <f>AVERAGE(D2:D237)</f>
        <v>0.99731691083818941</v>
      </c>
    </row>
    <row r="3" spans="1:7" x14ac:dyDescent="0.2">
      <c r="A3" s="1" t="s">
        <v>191</v>
      </c>
      <c r="B3" s="1">
        <v>49</v>
      </c>
      <c r="C3" s="1">
        <v>49</v>
      </c>
      <c r="D3" s="1">
        <f t="shared" ref="D3:D66" si="0">(B3/C3)</f>
        <v>1</v>
      </c>
      <c r="E3" s="2"/>
      <c r="F3" s="2"/>
      <c r="G3" s="2"/>
    </row>
    <row r="4" spans="1:7" x14ac:dyDescent="0.2">
      <c r="A4" s="1" t="s">
        <v>192</v>
      </c>
      <c r="B4" s="1">
        <v>46</v>
      </c>
      <c r="C4" s="1">
        <v>46</v>
      </c>
      <c r="D4" s="1">
        <f t="shared" si="0"/>
        <v>1</v>
      </c>
      <c r="E4" s="2"/>
      <c r="F4" s="2"/>
      <c r="G4" s="2"/>
    </row>
    <row r="5" spans="1:7" x14ac:dyDescent="0.2">
      <c r="A5" s="1" t="s">
        <v>193</v>
      </c>
      <c r="B5" s="1">
        <v>34</v>
      </c>
      <c r="C5" s="1">
        <v>34</v>
      </c>
      <c r="D5" s="1">
        <f t="shared" si="0"/>
        <v>1</v>
      </c>
      <c r="E5" s="2"/>
      <c r="F5" s="2"/>
      <c r="G5" s="2"/>
    </row>
    <row r="6" spans="1:7" x14ac:dyDescent="0.2">
      <c r="A6" s="1" t="s">
        <v>194</v>
      </c>
      <c r="B6" s="1">
        <v>33</v>
      </c>
      <c r="C6" s="1">
        <v>33</v>
      </c>
      <c r="D6" s="1">
        <f t="shared" si="0"/>
        <v>1</v>
      </c>
      <c r="E6" s="2"/>
      <c r="F6" s="2"/>
      <c r="G6" s="3" t="s">
        <v>195</v>
      </c>
    </row>
    <row r="7" spans="1:7" x14ac:dyDescent="0.2">
      <c r="A7" s="1" t="s">
        <v>196</v>
      </c>
      <c r="B7" s="1">
        <v>49</v>
      </c>
      <c r="C7" s="1">
        <v>49</v>
      </c>
      <c r="D7" s="1">
        <f t="shared" si="0"/>
        <v>1</v>
      </c>
      <c r="E7" s="2"/>
      <c r="F7" s="2"/>
      <c r="G7" s="1" t="s">
        <v>197</v>
      </c>
    </row>
    <row r="8" spans="1:7" x14ac:dyDescent="0.2">
      <c r="A8" s="1" t="s">
        <v>198</v>
      </c>
      <c r="B8" s="1">
        <v>20</v>
      </c>
      <c r="C8" s="1">
        <v>20</v>
      </c>
      <c r="D8" s="1">
        <f t="shared" si="0"/>
        <v>1</v>
      </c>
      <c r="E8" s="2"/>
      <c r="F8" s="2"/>
      <c r="G8" s="2"/>
    </row>
    <row r="9" spans="1:7" x14ac:dyDescent="0.2">
      <c r="A9" s="1" t="s">
        <v>199</v>
      </c>
      <c r="B9" s="1">
        <v>41</v>
      </c>
      <c r="C9" s="1">
        <v>41</v>
      </c>
      <c r="D9" s="1">
        <f t="shared" si="0"/>
        <v>1</v>
      </c>
      <c r="E9" s="2"/>
      <c r="F9" s="2"/>
      <c r="G9" s="2"/>
    </row>
    <row r="10" spans="1:7" x14ac:dyDescent="0.2">
      <c r="A10" s="1" t="s">
        <v>200</v>
      </c>
      <c r="B10" s="1">
        <v>49</v>
      </c>
      <c r="C10" s="1">
        <v>49</v>
      </c>
      <c r="D10" s="1">
        <f t="shared" si="0"/>
        <v>1</v>
      </c>
      <c r="E10" s="2"/>
      <c r="F10" s="2"/>
      <c r="G10" s="2"/>
    </row>
    <row r="11" spans="1:7" x14ac:dyDescent="0.2">
      <c r="A11" s="1" t="s">
        <v>201</v>
      </c>
      <c r="B11" s="1">
        <v>49</v>
      </c>
      <c r="C11" s="1">
        <v>49</v>
      </c>
      <c r="D11" s="1">
        <f t="shared" si="0"/>
        <v>1</v>
      </c>
      <c r="E11" s="2"/>
      <c r="F11" s="2"/>
      <c r="G11" s="2"/>
    </row>
    <row r="12" spans="1:7" x14ac:dyDescent="0.2">
      <c r="A12" s="1" t="s">
        <v>202</v>
      </c>
      <c r="B12" s="1">
        <v>39</v>
      </c>
      <c r="C12" s="1">
        <v>39</v>
      </c>
      <c r="D12" s="1">
        <f t="shared" si="0"/>
        <v>1</v>
      </c>
      <c r="E12" s="2"/>
      <c r="F12" s="2"/>
      <c r="G12" s="2"/>
    </row>
    <row r="13" spans="1:7" x14ac:dyDescent="0.2">
      <c r="A13" s="1" t="s">
        <v>203</v>
      </c>
      <c r="B13" s="1">
        <v>49</v>
      </c>
      <c r="C13" s="1">
        <v>49</v>
      </c>
      <c r="D13" s="1">
        <f t="shared" si="0"/>
        <v>1</v>
      </c>
      <c r="E13" s="2"/>
      <c r="F13" s="2"/>
      <c r="G13" s="2"/>
    </row>
    <row r="14" spans="1:7" x14ac:dyDescent="0.2">
      <c r="A14" s="1" t="s">
        <v>204</v>
      </c>
      <c r="B14" s="1">
        <v>49</v>
      </c>
      <c r="C14" s="1">
        <v>49</v>
      </c>
      <c r="D14" s="1">
        <f t="shared" si="0"/>
        <v>1</v>
      </c>
      <c r="E14" s="2"/>
      <c r="F14" s="2"/>
      <c r="G14" s="2"/>
    </row>
    <row r="15" spans="1:7" x14ac:dyDescent="0.2">
      <c r="A15" s="1" t="s">
        <v>205</v>
      </c>
      <c r="B15" s="1">
        <v>46</v>
      </c>
      <c r="C15" s="1">
        <v>46</v>
      </c>
      <c r="D15" s="1">
        <f t="shared" si="0"/>
        <v>1</v>
      </c>
      <c r="E15" s="2"/>
      <c r="F15" s="2"/>
      <c r="G15" s="2"/>
    </row>
    <row r="16" spans="1:7" x14ac:dyDescent="0.2">
      <c r="A16" s="1" t="s">
        <v>206</v>
      </c>
      <c r="B16" s="1">
        <v>46</v>
      </c>
      <c r="C16" s="1">
        <v>46</v>
      </c>
      <c r="D16" s="1">
        <f t="shared" si="0"/>
        <v>1</v>
      </c>
      <c r="E16" s="2"/>
      <c r="F16" s="2"/>
      <c r="G16" s="2"/>
    </row>
    <row r="17" spans="1:7" x14ac:dyDescent="0.2">
      <c r="A17" s="1" t="s">
        <v>207</v>
      </c>
      <c r="B17" s="1">
        <v>46</v>
      </c>
      <c r="C17" s="1">
        <v>46</v>
      </c>
      <c r="D17" s="1">
        <f t="shared" si="0"/>
        <v>1</v>
      </c>
      <c r="E17" s="2"/>
      <c r="F17" s="2"/>
      <c r="G17" s="2"/>
    </row>
    <row r="18" spans="1:7" x14ac:dyDescent="0.2">
      <c r="A18" s="1" t="s">
        <v>208</v>
      </c>
      <c r="B18" s="1">
        <v>49</v>
      </c>
      <c r="C18" s="1">
        <v>49</v>
      </c>
      <c r="D18" s="1">
        <f t="shared" si="0"/>
        <v>1</v>
      </c>
      <c r="E18" s="2"/>
      <c r="F18" s="2"/>
      <c r="G18" s="2"/>
    </row>
    <row r="19" spans="1:7" x14ac:dyDescent="0.2">
      <c r="A19" s="1" t="s">
        <v>209</v>
      </c>
      <c r="B19" s="1">
        <v>46</v>
      </c>
      <c r="C19" s="1">
        <v>46</v>
      </c>
      <c r="D19" s="1">
        <f t="shared" si="0"/>
        <v>1</v>
      </c>
      <c r="E19" s="2"/>
      <c r="F19" s="2"/>
      <c r="G19" s="2"/>
    </row>
    <row r="20" spans="1:7" x14ac:dyDescent="0.2">
      <c r="A20" s="1" t="s">
        <v>210</v>
      </c>
      <c r="B20" s="1">
        <v>49</v>
      </c>
      <c r="C20" s="1">
        <v>49</v>
      </c>
      <c r="D20" s="1">
        <f t="shared" si="0"/>
        <v>1</v>
      </c>
      <c r="E20" s="2"/>
      <c r="F20" s="2"/>
      <c r="G20" s="2"/>
    </row>
    <row r="21" spans="1:7" x14ac:dyDescent="0.2">
      <c r="A21" s="1" t="s">
        <v>211</v>
      </c>
      <c r="B21" s="1">
        <v>49</v>
      </c>
      <c r="C21" s="1">
        <v>49</v>
      </c>
      <c r="D21" s="1">
        <f t="shared" si="0"/>
        <v>1</v>
      </c>
      <c r="E21" s="2"/>
      <c r="F21" s="2"/>
      <c r="G21" s="2"/>
    </row>
    <row r="22" spans="1:7" x14ac:dyDescent="0.2">
      <c r="A22" s="1" t="s">
        <v>212</v>
      </c>
      <c r="B22" s="1">
        <v>46</v>
      </c>
      <c r="C22" s="1">
        <v>46</v>
      </c>
      <c r="D22" s="1">
        <f t="shared" si="0"/>
        <v>1</v>
      </c>
      <c r="E22" s="2"/>
      <c r="F22" s="2"/>
      <c r="G22" s="2"/>
    </row>
    <row r="23" spans="1:7" x14ac:dyDescent="0.2">
      <c r="A23" s="1" t="s">
        <v>213</v>
      </c>
      <c r="B23" s="1">
        <v>49</v>
      </c>
      <c r="C23" s="1">
        <v>49</v>
      </c>
      <c r="D23" s="1">
        <f t="shared" si="0"/>
        <v>1</v>
      </c>
      <c r="E23" s="2"/>
      <c r="F23" s="2"/>
      <c r="G23" s="2"/>
    </row>
    <row r="24" spans="1:7" x14ac:dyDescent="0.2">
      <c r="A24" s="1" t="s">
        <v>214</v>
      </c>
      <c r="B24" s="1">
        <v>42</v>
      </c>
      <c r="C24" s="1">
        <v>42</v>
      </c>
      <c r="D24" s="1">
        <f t="shared" si="0"/>
        <v>1</v>
      </c>
      <c r="E24" s="2"/>
      <c r="F24" s="2"/>
      <c r="G24" s="2"/>
    </row>
    <row r="25" spans="1:7" x14ac:dyDescent="0.2">
      <c r="A25" s="1" t="s">
        <v>215</v>
      </c>
      <c r="B25" s="1">
        <v>47</v>
      </c>
      <c r="C25" s="1">
        <v>47</v>
      </c>
      <c r="D25" s="1">
        <f t="shared" si="0"/>
        <v>1</v>
      </c>
      <c r="E25" s="2"/>
      <c r="F25" s="2"/>
      <c r="G25" s="2"/>
    </row>
    <row r="26" spans="1:7" x14ac:dyDescent="0.2">
      <c r="A26" s="1" t="s">
        <v>216</v>
      </c>
      <c r="B26" s="1">
        <v>49</v>
      </c>
      <c r="C26" s="1">
        <v>49</v>
      </c>
      <c r="D26" s="1">
        <f t="shared" si="0"/>
        <v>1</v>
      </c>
      <c r="E26" s="2"/>
      <c r="F26" s="2"/>
      <c r="G26" s="2"/>
    </row>
    <row r="27" spans="1:7" x14ac:dyDescent="0.2">
      <c r="A27" s="1" t="s">
        <v>217</v>
      </c>
      <c r="B27" s="1">
        <v>44</v>
      </c>
      <c r="C27" s="1">
        <v>44</v>
      </c>
      <c r="D27" s="1">
        <f t="shared" si="0"/>
        <v>1</v>
      </c>
      <c r="E27" s="2"/>
      <c r="F27" s="2"/>
      <c r="G27" s="2"/>
    </row>
    <row r="28" spans="1:7" x14ac:dyDescent="0.2">
      <c r="A28" s="1" t="s">
        <v>218</v>
      </c>
      <c r="B28" s="1">
        <v>49</v>
      </c>
      <c r="C28" s="1">
        <v>49</v>
      </c>
      <c r="D28" s="1">
        <f t="shared" si="0"/>
        <v>1</v>
      </c>
      <c r="E28" s="2"/>
      <c r="F28" s="2"/>
      <c r="G28" s="2"/>
    </row>
    <row r="29" spans="1:7" x14ac:dyDescent="0.2">
      <c r="A29" s="1" t="s">
        <v>219</v>
      </c>
      <c r="B29" s="1">
        <v>49</v>
      </c>
      <c r="C29" s="1">
        <v>49</v>
      </c>
      <c r="D29" s="1">
        <f t="shared" si="0"/>
        <v>1</v>
      </c>
      <c r="E29" s="2"/>
      <c r="F29" s="2"/>
      <c r="G29" s="2"/>
    </row>
    <row r="30" spans="1:7" x14ac:dyDescent="0.2">
      <c r="A30" s="1" t="s">
        <v>220</v>
      </c>
      <c r="B30" s="1">
        <v>39</v>
      </c>
      <c r="C30" s="1">
        <v>39</v>
      </c>
      <c r="D30" s="1">
        <f t="shared" si="0"/>
        <v>1</v>
      </c>
      <c r="E30" s="2"/>
      <c r="F30" s="2"/>
      <c r="G30" s="2"/>
    </row>
    <row r="31" spans="1:7" x14ac:dyDescent="0.2">
      <c r="A31" s="1" t="s">
        <v>221</v>
      </c>
      <c r="B31" s="1">
        <v>46</v>
      </c>
      <c r="C31" s="1">
        <v>46</v>
      </c>
      <c r="D31" s="1">
        <f t="shared" si="0"/>
        <v>1</v>
      </c>
      <c r="E31" s="2"/>
      <c r="F31" s="2"/>
      <c r="G31" s="2"/>
    </row>
    <row r="32" spans="1:7" x14ac:dyDescent="0.2">
      <c r="A32" s="1" t="s">
        <v>222</v>
      </c>
      <c r="B32" s="1">
        <v>49</v>
      </c>
      <c r="C32" s="1">
        <v>49</v>
      </c>
      <c r="D32" s="1">
        <f t="shared" si="0"/>
        <v>1</v>
      </c>
      <c r="E32" s="2"/>
      <c r="F32" s="2"/>
      <c r="G32" s="2"/>
    </row>
    <row r="33" spans="1:7" x14ac:dyDescent="0.2">
      <c r="A33" s="1" t="s">
        <v>223</v>
      </c>
      <c r="B33" s="1">
        <v>49</v>
      </c>
      <c r="C33" s="1">
        <v>49</v>
      </c>
      <c r="D33" s="1">
        <f t="shared" si="0"/>
        <v>1</v>
      </c>
      <c r="E33" s="2"/>
      <c r="F33" s="2"/>
      <c r="G33" s="2"/>
    </row>
    <row r="34" spans="1:7" x14ac:dyDescent="0.2">
      <c r="A34" s="1" t="s">
        <v>224</v>
      </c>
      <c r="B34" s="1">
        <v>49</v>
      </c>
      <c r="C34" s="1">
        <v>49</v>
      </c>
      <c r="D34" s="1">
        <f t="shared" si="0"/>
        <v>1</v>
      </c>
      <c r="E34" s="2"/>
      <c r="F34" s="2"/>
      <c r="G34" s="2"/>
    </row>
    <row r="35" spans="1:7" x14ac:dyDescent="0.2">
      <c r="A35" s="1" t="s">
        <v>225</v>
      </c>
      <c r="B35" s="1">
        <v>49</v>
      </c>
      <c r="C35" s="1">
        <v>49</v>
      </c>
      <c r="D35" s="1">
        <f t="shared" si="0"/>
        <v>1</v>
      </c>
      <c r="E35" s="2"/>
      <c r="F35" s="2"/>
      <c r="G35" s="2"/>
    </row>
    <row r="36" spans="1:7" x14ac:dyDescent="0.2">
      <c r="A36" s="1" t="s">
        <v>226</v>
      </c>
      <c r="B36" s="1">
        <v>49</v>
      </c>
      <c r="C36" s="1">
        <v>49</v>
      </c>
      <c r="D36" s="1">
        <f t="shared" si="0"/>
        <v>1</v>
      </c>
      <c r="E36" s="2"/>
      <c r="F36" s="2"/>
      <c r="G36" s="2"/>
    </row>
    <row r="37" spans="1:7" x14ac:dyDescent="0.2">
      <c r="A37" s="1" t="s">
        <v>227</v>
      </c>
      <c r="B37" s="1">
        <v>46</v>
      </c>
      <c r="C37" s="1">
        <v>46</v>
      </c>
      <c r="D37" s="1">
        <f t="shared" si="0"/>
        <v>1</v>
      </c>
      <c r="E37" s="2"/>
      <c r="F37" s="2"/>
      <c r="G37" s="2"/>
    </row>
    <row r="38" spans="1:7" x14ac:dyDescent="0.2">
      <c r="A38" s="1" t="s">
        <v>228</v>
      </c>
      <c r="B38" s="1">
        <v>49</v>
      </c>
      <c r="C38" s="1">
        <v>49</v>
      </c>
      <c r="D38" s="1">
        <f t="shared" si="0"/>
        <v>1</v>
      </c>
      <c r="E38" s="2"/>
      <c r="F38" s="2"/>
      <c r="G38" s="2"/>
    </row>
    <row r="39" spans="1:7" x14ac:dyDescent="0.2">
      <c r="A39" s="1" t="s">
        <v>229</v>
      </c>
      <c r="B39" s="1">
        <v>49</v>
      </c>
      <c r="C39" s="1">
        <v>49</v>
      </c>
      <c r="D39" s="1">
        <f t="shared" si="0"/>
        <v>1</v>
      </c>
      <c r="E39" s="2"/>
      <c r="F39" s="2"/>
      <c r="G39" s="2"/>
    </row>
    <row r="40" spans="1:7" x14ac:dyDescent="0.2">
      <c r="A40" s="1" t="s">
        <v>230</v>
      </c>
      <c r="B40" s="1">
        <v>39</v>
      </c>
      <c r="C40" s="1">
        <v>39</v>
      </c>
      <c r="D40" s="1">
        <f t="shared" si="0"/>
        <v>1</v>
      </c>
      <c r="E40" s="2"/>
      <c r="F40" s="2"/>
      <c r="G40" s="2"/>
    </row>
    <row r="41" spans="1:7" x14ac:dyDescent="0.2">
      <c r="A41" s="1" t="s">
        <v>231</v>
      </c>
      <c r="B41" s="1">
        <v>49</v>
      </c>
      <c r="C41" s="1">
        <v>49</v>
      </c>
      <c r="D41" s="1">
        <f t="shared" si="0"/>
        <v>1</v>
      </c>
      <c r="E41" s="2"/>
      <c r="F41" s="2"/>
      <c r="G41" s="2"/>
    </row>
    <row r="42" spans="1:7" x14ac:dyDescent="0.2">
      <c r="A42" s="1" t="s">
        <v>232</v>
      </c>
      <c r="B42" s="1">
        <v>49</v>
      </c>
      <c r="C42" s="1">
        <v>49</v>
      </c>
      <c r="D42" s="1">
        <f t="shared" si="0"/>
        <v>1</v>
      </c>
      <c r="E42" s="2"/>
      <c r="F42" s="2"/>
      <c r="G42" s="2"/>
    </row>
    <row r="43" spans="1:7" x14ac:dyDescent="0.2">
      <c r="A43" s="1" t="s">
        <v>233</v>
      </c>
      <c r="B43" s="1">
        <v>49</v>
      </c>
      <c r="C43" s="1">
        <v>49</v>
      </c>
      <c r="D43" s="1">
        <f t="shared" si="0"/>
        <v>1</v>
      </c>
      <c r="E43" s="2"/>
      <c r="F43" s="2"/>
      <c r="G43" s="2"/>
    </row>
    <row r="44" spans="1:7" x14ac:dyDescent="0.2">
      <c r="A44" s="1" t="s">
        <v>234</v>
      </c>
      <c r="B44" s="1">
        <v>49</v>
      </c>
      <c r="C44" s="1">
        <v>49</v>
      </c>
      <c r="D44" s="1">
        <f t="shared" si="0"/>
        <v>1</v>
      </c>
      <c r="E44" s="2"/>
      <c r="F44" s="2"/>
      <c r="G44" s="2"/>
    </row>
    <row r="45" spans="1:7" x14ac:dyDescent="0.2">
      <c r="A45" s="1" t="s">
        <v>235</v>
      </c>
      <c r="B45" s="1">
        <v>9</v>
      </c>
      <c r="C45" s="1">
        <v>9</v>
      </c>
      <c r="D45" s="1">
        <f t="shared" si="0"/>
        <v>1</v>
      </c>
      <c r="E45" s="2"/>
      <c r="F45" s="2"/>
      <c r="G45" s="2"/>
    </row>
    <row r="46" spans="1:7" x14ac:dyDescent="0.2">
      <c r="A46" s="1" t="s">
        <v>236</v>
      </c>
      <c r="B46" s="1">
        <v>7</v>
      </c>
      <c r="C46" s="1">
        <v>7</v>
      </c>
      <c r="D46" s="1">
        <f t="shared" si="0"/>
        <v>1</v>
      </c>
      <c r="E46" s="2"/>
      <c r="F46" s="2"/>
      <c r="G46" s="2"/>
    </row>
    <row r="47" spans="1:7" x14ac:dyDescent="0.2">
      <c r="A47" s="1" t="s">
        <v>237</v>
      </c>
      <c r="B47" s="1">
        <v>49</v>
      </c>
      <c r="C47" s="1">
        <v>49</v>
      </c>
      <c r="D47" s="1">
        <f t="shared" si="0"/>
        <v>1</v>
      </c>
      <c r="E47" s="2"/>
      <c r="F47" s="2"/>
      <c r="G47" s="2"/>
    </row>
    <row r="48" spans="1:7" x14ac:dyDescent="0.2">
      <c r="A48" s="1" t="s">
        <v>238</v>
      </c>
      <c r="B48" s="1">
        <v>47</v>
      </c>
      <c r="C48" s="1">
        <v>47</v>
      </c>
      <c r="D48" s="1">
        <f t="shared" si="0"/>
        <v>1</v>
      </c>
      <c r="E48" s="2"/>
      <c r="F48" s="2"/>
      <c r="G48" s="2"/>
    </row>
    <row r="49" spans="1:7" x14ac:dyDescent="0.2">
      <c r="A49" s="1" t="s">
        <v>239</v>
      </c>
      <c r="B49" s="1">
        <v>49</v>
      </c>
      <c r="C49" s="1">
        <v>49</v>
      </c>
      <c r="D49" s="1">
        <f t="shared" si="0"/>
        <v>1</v>
      </c>
      <c r="E49" s="2"/>
      <c r="F49" s="2"/>
      <c r="G49" s="2"/>
    </row>
    <row r="50" spans="1:7" x14ac:dyDescent="0.2">
      <c r="A50" s="1" t="s">
        <v>240</v>
      </c>
      <c r="B50" s="1">
        <v>46</v>
      </c>
      <c r="C50" s="1">
        <v>46</v>
      </c>
      <c r="D50" s="1">
        <f t="shared" si="0"/>
        <v>1</v>
      </c>
      <c r="E50" s="2"/>
      <c r="F50" s="2"/>
      <c r="G50" s="2"/>
    </row>
    <row r="51" spans="1:7" x14ac:dyDescent="0.2">
      <c r="A51" s="1" t="s">
        <v>241</v>
      </c>
      <c r="B51" s="1">
        <v>25</v>
      </c>
      <c r="C51" s="1">
        <v>25</v>
      </c>
      <c r="D51" s="1">
        <f t="shared" si="0"/>
        <v>1</v>
      </c>
      <c r="E51" s="2"/>
      <c r="F51" s="2"/>
      <c r="G51" s="2"/>
    </row>
    <row r="52" spans="1:7" x14ac:dyDescent="0.2">
      <c r="A52" s="1" t="s">
        <v>242</v>
      </c>
      <c r="B52" s="1">
        <v>49</v>
      </c>
      <c r="C52" s="1">
        <v>49</v>
      </c>
      <c r="D52" s="1">
        <f t="shared" si="0"/>
        <v>1</v>
      </c>
      <c r="E52" s="2"/>
      <c r="F52" s="2"/>
      <c r="G52" s="2"/>
    </row>
    <row r="53" spans="1:7" x14ac:dyDescent="0.2">
      <c r="A53" s="1" t="s">
        <v>243</v>
      </c>
      <c r="B53" s="1">
        <v>49</v>
      </c>
      <c r="C53" s="1">
        <v>49</v>
      </c>
      <c r="D53" s="1">
        <f t="shared" si="0"/>
        <v>1</v>
      </c>
      <c r="E53" s="2"/>
      <c r="F53" s="2"/>
      <c r="G53" s="2"/>
    </row>
    <row r="54" spans="1:7" x14ac:dyDescent="0.2">
      <c r="A54" s="1" t="s">
        <v>244</v>
      </c>
      <c r="B54" s="1">
        <v>49</v>
      </c>
      <c r="C54" s="1">
        <v>49</v>
      </c>
      <c r="D54" s="1">
        <f t="shared" si="0"/>
        <v>1</v>
      </c>
      <c r="E54" s="2"/>
      <c r="F54" s="2"/>
      <c r="G54" s="2"/>
    </row>
    <row r="55" spans="1:7" x14ac:dyDescent="0.2">
      <c r="A55" s="1" t="s">
        <v>245</v>
      </c>
      <c r="B55" s="1">
        <v>44</v>
      </c>
      <c r="C55" s="1">
        <v>44</v>
      </c>
      <c r="D55" s="1">
        <f t="shared" si="0"/>
        <v>1</v>
      </c>
      <c r="E55" s="2"/>
      <c r="F55" s="2"/>
      <c r="G55" s="2"/>
    </row>
    <row r="56" spans="1:7" x14ac:dyDescent="0.2">
      <c r="A56" s="1" t="s">
        <v>246</v>
      </c>
      <c r="B56" s="1">
        <v>30</v>
      </c>
      <c r="C56" s="1">
        <v>30</v>
      </c>
      <c r="D56" s="1">
        <f t="shared" si="0"/>
        <v>1</v>
      </c>
      <c r="E56" s="2"/>
      <c r="F56" s="2"/>
      <c r="G56" s="2"/>
    </row>
    <row r="57" spans="1:7" x14ac:dyDescent="0.2">
      <c r="A57" s="1" t="s">
        <v>247</v>
      </c>
      <c r="B57" s="1">
        <v>49</v>
      </c>
      <c r="C57" s="1">
        <v>49</v>
      </c>
      <c r="D57" s="1">
        <f t="shared" si="0"/>
        <v>1</v>
      </c>
      <c r="E57" s="2"/>
      <c r="F57" s="2"/>
      <c r="G57" s="2"/>
    </row>
    <row r="58" spans="1:7" x14ac:dyDescent="0.2">
      <c r="A58" s="1" t="s">
        <v>248</v>
      </c>
      <c r="B58" s="1">
        <v>49</v>
      </c>
      <c r="C58" s="1">
        <v>49</v>
      </c>
      <c r="D58" s="1">
        <f t="shared" si="0"/>
        <v>1</v>
      </c>
      <c r="E58" s="2"/>
      <c r="F58" s="2"/>
      <c r="G58" s="2"/>
    </row>
    <row r="59" spans="1:7" x14ac:dyDescent="0.2">
      <c r="A59" s="1" t="s">
        <v>249</v>
      </c>
      <c r="B59" s="1">
        <v>49</v>
      </c>
      <c r="C59" s="1">
        <v>49</v>
      </c>
      <c r="D59" s="1">
        <f t="shared" si="0"/>
        <v>1</v>
      </c>
      <c r="E59" s="2"/>
      <c r="F59" s="2"/>
      <c r="G59" s="2"/>
    </row>
    <row r="60" spans="1:7" x14ac:dyDescent="0.2">
      <c r="A60" s="1" t="s">
        <v>250</v>
      </c>
      <c r="B60" s="1">
        <v>49</v>
      </c>
      <c r="C60" s="1">
        <v>49</v>
      </c>
      <c r="D60" s="1">
        <f t="shared" si="0"/>
        <v>1</v>
      </c>
      <c r="E60" s="2"/>
      <c r="F60" s="2"/>
      <c r="G60" s="2"/>
    </row>
    <row r="61" spans="1:7" x14ac:dyDescent="0.2">
      <c r="A61" s="1" t="s">
        <v>251</v>
      </c>
      <c r="B61" s="1">
        <v>39</v>
      </c>
      <c r="C61" s="1">
        <v>39</v>
      </c>
      <c r="D61" s="1">
        <f t="shared" si="0"/>
        <v>1</v>
      </c>
      <c r="E61" s="2"/>
      <c r="F61" s="2"/>
      <c r="G61" s="2"/>
    </row>
    <row r="62" spans="1:7" x14ac:dyDescent="0.2">
      <c r="A62" s="1" t="s">
        <v>252</v>
      </c>
      <c r="B62" s="1">
        <v>49</v>
      </c>
      <c r="C62" s="1">
        <v>49</v>
      </c>
      <c r="D62" s="1">
        <f t="shared" si="0"/>
        <v>1</v>
      </c>
      <c r="E62" s="2"/>
      <c r="F62" s="2"/>
      <c r="G62" s="2"/>
    </row>
    <row r="63" spans="1:7" x14ac:dyDescent="0.2">
      <c r="A63" s="1" t="s">
        <v>253</v>
      </c>
      <c r="B63" s="1">
        <v>49</v>
      </c>
      <c r="C63" s="1">
        <v>49</v>
      </c>
      <c r="D63" s="1">
        <f t="shared" si="0"/>
        <v>1</v>
      </c>
      <c r="E63" s="2"/>
      <c r="F63" s="2"/>
      <c r="G63" s="2"/>
    </row>
    <row r="64" spans="1:7" x14ac:dyDescent="0.2">
      <c r="A64" s="1" t="s">
        <v>254</v>
      </c>
      <c r="B64" s="1">
        <v>47</v>
      </c>
      <c r="C64" s="1">
        <v>47</v>
      </c>
      <c r="D64" s="1">
        <f t="shared" si="0"/>
        <v>1</v>
      </c>
      <c r="E64" s="2"/>
      <c r="F64" s="2"/>
      <c r="G64" s="2"/>
    </row>
    <row r="65" spans="1:7" x14ac:dyDescent="0.2">
      <c r="A65" s="1" t="s">
        <v>255</v>
      </c>
      <c r="B65" s="1">
        <v>49</v>
      </c>
      <c r="C65" s="1">
        <v>49</v>
      </c>
      <c r="D65" s="1">
        <f t="shared" si="0"/>
        <v>1</v>
      </c>
      <c r="E65" s="2"/>
      <c r="F65" s="2"/>
      <c r="G65" s="2"/>
    </row>
    <row r="66" spans="1:7" x14ac:dyDescent="0.2">
      <c r="A66" s="1" t="s">
        <v>256</v>
      </c>
      <c r="B66" s="1">
        <v>44</v>
      </c>
      <c r="C66" s="1">
        <v>44</v>
      </c>
      <c r="D66" s="1">
        <f t="shared" si="0"/>
        <v>1</v>
      </c>
      <c r="E66" s="2"/>
      <c r="F66" s="2"/>
      <c r="G66" s="2"/>
    </row>
    <row r="67" spans="1:7" x14ac:dyDescent="0.2">
      <c r="A67" s="1" t="s">
        <v>257</v>
      </c>
      <c r="B67" s="1">
        <v>42</v>
      </c>
      <c r="C67" s="1">
        <v>42</v>
      </c>
      <c r="D67" s="1">
        <f t="shared" ref="D67:D130" si="1">(B67/C67)</f>
        <v>1</v>
      </c>
      <c r="E67" s="2"/>
      <c r="F67" s="2"/>
      <c r="G67" s="2"/>
    </row>
    <row r="68" spans="1:7" x14ac:dyDescent="0.2">
      <c r="A68" s="1" t="s">
        <v>258</v>
      </c>
      <c r="B68" s="1">
        <v>49</v>
      </c>
      <c r="C68" s="1">
        <v>49</v>
      </c>
      <c r="D68" s="1">
        <f t="shared" si="1"/>
        <v>1</v>
      </c>
      <c r="E68" s="2"/>
      <c r="F68" s="2"/>
      <c r="G68" s="2"/>
    </row>
    <row r="69" spans="1:7" x14ac:dyDescent="0.2">
      <c r="A69" s="1" t="s">
        <v>259</v>
      </c>
      <c r="B69" s="1">
        <v>49</v>
      </c>
      <c r="C69" s="1">
        <v>49</v>
      </c>
      <c r="D69" s="1">
        <f t="shared" si="1"/>
        <v>1</v>
      </c>
      <c r="E69" s="2"/>
      <c r="F69" s="2"/>
      <c r="G69" s="2"/>
    </row>
    <row r="70" spans="1:7" x14ac:dyDescent="0.2">
      <c r="A70" s="1" t="s">
        <v>260</v>
      </c>
      <c r="B70" s="1">
        <v>49</v>
      </c>
      <c r="C70" s="1">
        <v>49</v>
      </c>
      <c r="D70" s="1">
        <f t="shared" si="1"/>
        <v>1</v>
      </c>
      <c r="E70" s="2"/>
      <c r="F70" s="2"/>
      <c r="G70" s="2"/>
    </row>
    <row r="71" spans="1:7" x14ac:dyDescent="0.2">
      <c r="A71" s="1" t="s">
        <v>261</v>
      </c>
      <c r="B71" s="1">
        <v>40</v>
      </c>
      <c r="C71" s="1">
        <v>40</v>
      </c>
      <c r="D71" s="1">
        <f t="shared" si="1"/>
        <v>1</v>
      </c>
      <c r="E71" s="2"/>
      <c r="F71" s="2"/>
      <c r="G71" s="2"/>
    </row>
    <row r="72" spans="1:7" x14ac:dyDescent="0.2">
      <c r="A72" s="1" t="s">
        <v>262</v>
      </c>
      <c r="B72" s="1">
        <v>39</v>
      </c>
      <c r="C72" s="1">
        <v>39</v>
      </c>
      <c r="D72" s="1">
        <f t="shared" si="1"/>
        <v>1</v>
      </c>
      <c r="E72" s="2"/>
      <c r="F72" s="2"/>
      <c r="G72" s="2"/>
    </row>
    <row r="73" spans="1:7" x14ac:dyDescent="0.2">
      <c r="A73" s="1" t="s">
        <v>263</v>
      </c>
      <c r="B73" s="1">
        <v>49</v>
      </c>
      <c r="C73" s="1">
        <v>49</v>
      </c>
      <c r="D73" s="1">
        <f t="shared" si="1"/>
        <v>1</v>
      </c>
      <c r="E73" s="2"/>
      <c r="F73" s="2"/>
      <c r="G73" s="2"/>
    </row>
    <row r="74" spans="1:7" x14ac:dyDescent="0.2">
      <c r="A74" s="1" t="s">
        <v>264</v>
      </c>
      <c r="B74" s="1">
        <v>49</v>
      </c>
      <c r="C74" s="1">
        <v>49</v>
      </c>
      <c r="D74" s="1">
        <f t="shared" si="1"/>
        <v>1</v>
      </c>
      <c r="E74" s="2"/>
      <c r="F74" s="2"/>
      <c r="G74" s="2"/>
    </row>
    <row r="75" spans="1:7" x14ac:dyDescent="0.2">
      <c r="A75" s="1" t="s">
        <v>265</v>
      </c>
      <c r="B75" s="1">
        <v>49</v>
      </c>
      <c r="C75" s="1">
        <v>49</v>
      </c>
      <c r="D75" s="1">
        <f t="shared" si="1"/>
        <v>1</v>
      </c>
      <c r="E75" s="2"/>
      <c r="F75" s="2"/>
      <c r="G75" s="2"/>
    </row>
    <row r="76" spans="1:7" x14ac:dyDescent="0.2">
      <c r="A76" s="1" t="s">
        <v>266</v>
      </c>
      <c r="B76" s="1">
        <v>37</v>
      </c>
      <c r="C76" s="1">
        <v>37</v>
      </c>
      <c r="D76" s="1">
        <f t="shared" si="1"/>
        <v>1</v>
      </c>
      <c r="E76" s="2"/>
      <c r="F76" s="2"/>
      <c r="G76" s="2"/>
    </row>
    <row r="77" spans="1:7" x14ac:dyDescent="0.2">
      <c r="A77" s="1" t="s">
        <v>267</v>
      </c>
      <c r="B77" s="1">
        <v>49</v>
      </c>
      <c r="C77" s="1">
        <v>49</v>
      </c>
      <c r="D77" s="1">
        <f t="shared" si="1"/>
        <v>1</v>
      </c>
      <c r="E77" s="2"/>
      <c r="F77" s="2"/>
      <c r="G77" s="2"/>
    </row>
    <row r="78" spans="1:7" x14ac:dyDescent="0.2">
      <c r="A78" s="1" t="s">
        <v>268</v>
      </c>
      <c r="B78" s="1">
        <v>49</v>
      </c>
      <c r="C78" s="1">
        <v>49</v>
      </c>
      <c r="D78" s="1">
        <f t="shared" si="1"/>
        <v>1</v>
      </c>
      <c r="E78" s="2"/>
      <c r="F78" s="2"/>
      <c r="G78" s="2"/>
    </row>
    <row r="79" spans="1:7" x14ac:dyDescent="0.2">
      <c r="A79" s="1" t="s">
        <v>269</v>
      </c>
      <c r="B79" s="1">
        <v>45</v>
      </c>
      <c r="C79" s="1">
        <v>45</v>
      </c>
      <c r="D79" s="1">
        <f t="shared" si="1"/>
        <v>1</v>
      </c>
      <c r="E79" s="2"/>
      <c r="F79" s="2"/>
      <c r="G79" s="2"/>
    </row>
    <row r="80" spans="1:7" x14ac:dyDescent="0.2">
      <c r="A80" s="1" t="s">
        <v>270</v>
      </c>
      <c r="B80" s="1">
        <v>49</v>
      </c>
      <c r="C80" s="1">
        <v>49</v>
      </c>
      <c r="D80" s="1">
        <f t="shared" si="1"/>
        <v>1</v>
      </c>
      <c r="E80" s="2"/>
      <c r="F80" s="2"/>
      <c r="G80" s="2"/>
    </row>
    <row r="81" spans="1:7" x14ac:dyDescent="0.2">
      <c r="A81" s="1" t="s">
        <v>271</v>
      </c>
      <c r="B81" s="1">
        <v>49</v>
      </c>
      <c r="C81" s="1">
        <v>49</v>
      </c>
      <c r="D81" s="1">
        <f t="shared" si="1"/>
        <v>1</v>
      </c>
      <c r="E81" s="2"/>
      <c r="F81" s="2"/>
      <c r="G81" s="2"/>
    </row>
    <row r="82" spans="1:7" x14ac:dyDescent="0.2">
      <c r="A82" s="1" t="s">
        <v>272</v>
      </c>
      <c r="B82" s="1">
        <v>49</v>
      </c>
      <c r="C82" s="1">
        <v>49</v>
      </c>
      <c r="D82" s="1">
        <f t="shared" si="1"/>
        <v>1</v>
      </c>
      <c r="E82" s="2"/>
      <c r="F82" s="2"/>
      <c r="G82" s="2"/>
    </row>
    <row r="83" spans="1:7" x14ac:dyDescent="0.2">
      <c r="A83" s="1" t="s">
        <v>273</v>
      </c>
      <c r="B83" s="1">
        <v>25</v>
      </c>
      <c r="C83" s="1">
        <v>25</v>
      </c>
      <c r="D83" s="1">
        <f t="shared" si="1"/>
        <v>1</v>
      </c>
      <c r="E83" s="2"/>
      <c r="F83" s="2"/>
      <c r="G83" s="2"/>
    </row>
    <row r="84" spans="1:7" x14ac:dyDescent="0.2">
      <c r="A84" s="1" t="s">
        <v>274</v>
      </c>
      <c r="B84" s="1">
        <v>49</v>
      </c>
      <c r="C84" s="1">
        <v>49</v>
      </c>
      <c r="D84" s="1">
        <f t="shared" si="1"/>
        <v>1</v>
      </c>
      <c r="E84" s="2"/>
      <c r="F84" s="2"/>
      <c r="G84" s="2"/>
    </row>
    <row r="85" spans="1:7" x14ac:dyDescent="0.2">
      <c r="A85" s="1" t="s">
        <v>275</v>
      </c>
      <c r="B85" s="1">
        <v>44</v>
      </c>
      <c r="C85" s="1">
        <v>44</v>
      </c>
      <c r="D85" s="1">
        <f t="shared" si="1"/>
        <v>1</v>
      </c>
      <c r="E85" s="2"/>
      <c r="F85" s="2"/>
      <c r="G85" s="2"/>
    </row>
    <row r="86" spans="1:7" x14ac:dyDescent="0.2">
      <c r="A86" s="1" t="s">
        <v>276</v>
      </c>
      <c r="B86" s="1">
        <v>47</v>
      </c>
      <c r="C86" s="1">
        <v>47</v>
      </c>
      <c r="D86" s="1">
        <f t="shared" si="1"/>
        <v>1</v>
      </c>
      <c r="E86" s="2"/>
      <c r="F86" s="2"/>
      <c r="G86" s="2"/>
    </row>
    <row r="87" spans="1:7" x14ac:dyDescent="0.2">
      <c r="A87" s="1" t="s">
        <v>277</v>
      </c>
      <c r="B87" s="1">
        <v>36</v>
      </c>
      <c r="C87" s="1">
        <v>36</v>
      </c>
      <c r="D87" s="1">
        <f t="shared" si="1"/>
        <v>1</v>
      </c>
      <c r="E87" s="2"/>
      <c r="F87" s="2"/>
      <c r="G87" s="2"/>
    </row>
    <row r="88" spans="1:7" x14ac:dyDescent="0.2">
      <c r="A88" s="1" t="s">
        <v>278</v>
      </c>
      <c r="B88" s="1">
        <v>49</v>
      </c>
      <c r="C88" s="1">
        <v>49</v>
      </c>
      <c r="D88" s="1">
        <f t="shared" si="1"/>
        <v>1</v>
      </c>
      <c r="E88" s="2"/>
      <c r="F88" s="2"/>
      <c r="G88" s="2"/>
    </row>
    <row r="89" spans="1:7" x14ac:dyDescent="0.2">
      <c r="A89" s="1" t="s">
        <v>279</v>
      </c>
      <c r="B89" s="1">
        <v>28</v>
      </c>
      <c r="C89" s="1">
        <v>28</v>
      </c>
      <c r="D89" s="1">
        <f t="shared" si="1"/>
        <v>1</v>
      </c>
      <c r="E89" s="2"/>
      <c r="F89" s="2"/>
      <c r="G89" s="2"/>
    </row>
    <row r="90" spans="1:7" x14ac:dyDescent="0.2">
      <c r="A90" s="1" t="s">
        <v>280</v>
      </c>
      <c r="B90" s="1">
        <v>49</v>
      </c>
      <c r="C90" s="1">
        <v>49</v>
      </c>
      <c r="D90" s="1">
        <f t="shared" si="1"/>
        <v>1</v>
      </c>
      <c r="E90" s="2"/>
      <c r="F90" s="2"/>
      <c r="G90" s="2"/>
    </row>
    <row r="91" spans="1:7" x14ac:dyDescent="0.2">
      <c r="A91" s="1" t="s">
        <v>281</v>
      </c>
      <c r="B91" s="1">
        <v>49</v>
      </c>
      <c r="C91" s="1">
        <v>49</v>
      </c>
      <c r="D91" s="1">
        <f t="shared" si="1"/>
        <v>1</v>
      </c>
      <c r="E91" s="2"/>
      <c r="F91" s="2"/>
      <c r="G91" s="2"/>
    </row>
    <row r="92" spans="1:7" x14ac:dyDescent="0.2">
      <c r="A92" s="1" t="s">
        <v>282</v>
      </c>
      <c r="B92" s="1">
        <v>46</v>
      </c>
      <c r="C92" s="1">
        <v>46</v>
      </c>
      <c r="D92" s="1">
        <f t="shared" si="1"/>
        <v>1</v>
      </c>
      <c r="E92" s="2"/>
      <c r="F92" s="2"/>
      <c r="G92" s="2"/>
    </row>
    <row r="93" spans="1:7" x14ac:dyDescent="0.2">
      <c r="A93" s="1" t="s">
        <v>283</v>
      </c>
      <c r="B93" s="1">
        <v>44</v>
      </c>
      <c r="C93" s="1">
        <v>44</v>
      </c>
      <c r="D93" s="1">
        <f t="shared" si="1"/>
        <v>1</v>
      </c>
      <c r="E93" s="2"/>
      <c r="F93" s="2"/>
      <c r="G93" s="2"/>
    </row>
    <row r="94" spans="1:7" x14ac:dyDescent="0.2">
      <c r="A94" s="1" t="s">
        <v>284</v>
      </c>
      <c r="B94" s="1">
        <v>12</v>
      </c>
      <c r="C94" s="1">
        <v>12</v>
      </c>
      <c r="D94" s="1">
        <f t="shared" si="1"/>
        <v>1</v>
      </c>
      <c r="E94" s="2"/>
      <c r="F94" s="2"/>
      <c r="G94" s="2"/>
    </row>
    <row r="95" spans="1:7" x14ac:dyDescent="0.2">
      <c r="A95" s="1" t="s">
        <v>285</v>
      </c>
      <c r="B95" s="1">
        <v>49</v>
      </c>
      <c r="C95" s="1">
        <v>49</v>
      </c>
      <c r="D95" s="1">
        <f t="shared" si="1"/>
        <v>1</v>
      </c>
      <c r="E95" s="2"/>
      <c r="F95" s="2"/>
      <c r="G95" s="2"/>
    </row>
    <row r="96" spans="1:7" x14ac:dyDescent="0.2">
      <c r="A96" s="1" t="s">
        <v>286</v>
      </c>
      <c r="B96" s="1">
        <v>47</v>
      </c>
      <c r="C96" s="1">
        <v>47</v>
      </c>
      <c r="D96" s="1">
        <f t="shared" si="1"/>
        <v>1</v>
      </c>
      <c r="E96" s="2"/>
      <c r="F96" s="2"/>
      <c r="G96" s="2"/>
    </row>
    <row r="97" spans="1:7" x14ac:dyDescent="0.2">
      <c r="A97" s="1" t="s">
        <v>287</v>
      </c>
      <c r="B97" s="1">
        <v>49</v>
      </c>
      <c r="C97" s="1">
        <v>49</v>
      </c>
      <c r="D97" s="1">
        <f t="shared" si="1"/>
        <v>1</v>
      </c>
      <c r="E97" s="2"/>
      <c r="F97" s="2"/>
      <c r="G97" s="2"/>
    </row>
    <row r="98" spans="1:7" x14ac:dyDescent="0.2">
      <c r="A98" s="1" t="s">
        <v>288</v>
      </c>
      <c r="B98" s="1">
        <v>44</v>
      </c>
      <c r="C98" s="1">
        <v>44</v>
      </c>
      <c r="D98" s="1">
        <f t="shared" si="1"/>
        <v>1</v>
      </c>
      <c r="E98" s="2"/>
      <c r="F98" s="2"/>
      <c r="G98" s="2"/>
    </row>
    <row r="99" spans="1:7" x14ac:dyDescent="0.2">
      <c r="A99" s="1" t="s">
        <v>289</v>
      </c>
      <c r="B99" s="1">
        <v>49</v>
      </c>
      <c r="C99" s="1">
        <v>49</v>
      </c>
      <c r="D99" s="1">
        <f t="shared" si="1"/>
        <v>1</v>
      </c>
      <c r="E99" s="2"/>
      <c r="F99" s="2"/>
      <c r="G99" s="2"/>
    </row>
    <row r="100" spans="1:7" x14ac:dyDescent="0.2">
      <c r="A100" s="1" t="s">
        <v>290</v>
      </c>
      <c r="B100" s="1">
        <v>49</v>
      </c>
      <c r="C100" s="1">
        <v>49</v>
      </c>
      <c r="D100" s="1">
        <f t="shared" si="1"/>
        <v>1</v>
      </c>
      <c r="E100" s="2"/>
      <c r="F100" s="2"/>
      <c r="G100" s="2"/>
    </row>
    <row r="101" spans="1:7" x14ac:dyDescent="0.2">
      <c r="A101" s="1" t="s">
        <v>291</v>
      </c>
      <c r="B101" s="1">
        <v>49</v>
      </c>
      <c r="C101" s="1">
        <v>49</v>
      </c>
      <c r="D101" s="1">
        <f t="shared" si="1"/>
        <v>1</v>
      </c>
      <c r="E101" s="2"/>
      <c r="F101" s="2"/>
      <c r="G101" s="2"/>
    </row>
    <row r="102" spans="1:7" x14ac:dyDescent="0.2">
      <c r="A102" s="1" t="s">
        <v>292</v>
      </c>
      <c r="B102" s="1">
        <v>46</v>
      </c>
      <c r="C102" s="1">
        <v>46</v>
      </c>
      <c r="D102" s="1">
        <f t="shared" si="1"/>
        <v>1</v>
      </c>
      <c r="E102" s="2"/>
      <c r="F102" s="2"/>
      <c r="G102" s="2"/>
    </row>
    <row r="103" spans="1:7" x14ac:dyDescent="0.2">
      <c r="A103" s="1" t="s">
        <v>293</v>
      </c>
      <c r="B103" s="1">
        <v>49</v>
      </c>
      <c r="C103" s="1">
        <v>49</v>
      </c>
      <c r="D103" s="1">
        <f t="shared" si="1"/>
        <v>1</v>
      </c>
      <c r="E103" s="2"/>
      <c r="F103" s="2"/>
      <c r="G103" s="2"/>
    </row>
    <row r="104" spans="1:7" x14ac:dyDescent="0.2">
      <c r="A104" s="1" t="s">
        <v>294</v>
      </c>
      <c r="B104" s="1">
        <v>25</v>
      </c>
      <c r="C104" s="1">
        <v>25</v>
      </c>
      <c r="D104" s="1">
        <f t="shared" si="1"/>
        <v>1</v>
      </c>
      <c r="E104" s="2"/>
      <c r="F104" s="2"/>
      <c r="G104" s="2"/>
    </row>
    <row r="105" spans="1:7" x14ac:dyDescent="0.2">
      <c r="A105" s="1" t="s">
        <v>295</v>
      </c>
      <c r="B105" s="1">
        <v>49</v>
      </c>
      <c r="C105" s="1">
        <v>49</v>
      </c>
      <c r="D105" s="1">
        <f t="shared" si="1"/>
        <v>1</v>
      </c>
      <c r="E105" s="2"/>
      <c r="F105" s="2"/>
      <c r="G105" s="2"/>
    </row>
    <row r="106" spans="1:7" x14ac:dyDescent="0.2">
      <c r="A106" s="1" t="s">
        <v>296</v>
      </c>
      <c r="B106" s="1">
        <v>49</v>
      </c>
      <c r="C106" s="1">
        <v>49</v>
      </c>
      <c r="D106" s="1">
        <f t="shared" si="1"/>
        <v>1</v>
      </c>
      <c r="E106" s="2"/>
      <c r="F106" s="2"/>
      <c r="G106" s="2"/>
    </row>
    <row r="107" spans="1:7" x14ac:dyDescent="0.2">
      <c r="A107" s="1" t="s">
        <v>297</v>
      </c>
      <c r="B107" s="1">
        <v>49</v>
      </c>
      <c r="C107" s="1">
        <v>49</v>
      </c>
      <c r="D107" s="1">
        <f t="shared" si="1"/>
        <v>1</v>
      </c>
      <c r="E107" s="2"/>
      <c r="F107" s="2"/>
      <c r="G107" s="2"/>
    </row>
    <row r="108" spans="1:7" x14ac:dyDescent="0.2">
      <c r="A108" s="1" t="s">
        <v>298</v>
      </c>
      <c r="B108" s="1">
        <v>46</v>
      </c>
      <c r="C108" s="1">
        <v>46</v>
      </c>
      <c r="D108" s="1">
        <f t="shared" si="1"/>
        <v>1</v>
      </c>
      <c r="E108" s="2"/>
      <c r="F108" s="2"/>
      <c r="G108" s="2"/>
    </row>
    <row r="109" spans="1:7" x14ac:dyDescent="0.2">
      <c r="A109" s="1" t="s">
        <v>299</v>
      </c>
      <c r="B109" s="1">
        <v>34</v>
      </c>
      <c r="C109" s="1">
        <v>34</v>
      </c>
      <c r="D109" s="1">
        <f t="shared" si="1"/>
        <v>1</v>
      </c>
      <c r="E109" s="2"/>
      <c r="F109" s="2"/>
      <c r="G109" s="2"/>
    </row>
    <row r="110" spans="1:7" x14ac:dyDescent="0.2">
      <c r="A110" s="1" t="s">
        <v>300</v>
      </c>
      <c r="B110" s="1">
        <v>46</v>
      </c>
      <c r="C110" s="1">
        <v>46</v>
      </c>
      <c r="D110" s="1">
        <f t="shared" si="1"/>
        <v>1</v>
      </c>
      <c r="E110" s="2"/>
      <c r="F110" s="2"/>
      <c r="G110" s="2"/>
    </row>
    <row r="111" spans="1:7" x14ac:dyDescent="0.2">
      <c r="A111" s="1" t="s">
        <v>301</v>
      </c>
      <c r="B111" s="1">
        <v>49</v>
      </c>
      <c r="C111" s="1">
        <v>49</v>
      </c>
      <c r="D111" s="1">
        <f t="shared" si="1"/>
        <v>1</v>
      </c>
      <c r="E111" s="2"/>
      <c r="F111" s="2"/>
      <c r="G111" s="2"/>
    </row>
    <row r="112" spans="1:7" x14ac:dyDescent="0.2">
      <c r="A112" s="1" t="s">
        <v>302</v>
      </c>
      <c r="B112" s="1">
        <v>49</v>
      </c>
      <c r="C112" s="1">
        <v>49</v>
      </c>
      <c r="D112" s="1">
        <f t="shared" si="1"/>
        <v>1</v>
      </c>
      <c r="E112" s="2"/>
      <c r="F112" s="2"/>
      <c r="G112" s="2"/>
    </row>
    <row r="113" spans="1:7" x14ac:dyDescent="0.2">
      <c r="A113" s="1" t="s">
        <v>303</v>
      </c>
      <c r="B113" s="1">
        <v>42</v>
      </c>
      <c r="C113" s="1">
        <v>42</v>
      </c>
      <c r="D113" s="1">
        <f t="shared" si="1"/>
        <v>1</v>
      </c>
      <c r="E113" s="2"/>
      <c r="F113" s="2"/>
      <c r="G113" s="2"/>
    </row>
    <row r="114" spans="1:7" x14ac:dyDescent="0.2">
      <c r="A114" s="1" t="s">
        <v>304</v>
      </c>
      <c r="B114" s="1">
        <v>34</v>
      </c>
      <c r="C114" s="1">
        <v>34</v>
      </c>
      <c r="D114" s="1">
        <f t="shared" si="1"/>
        <v>1</v>
      </c>
      <c r="E114" s="2"/>
      <c r="F114" s="2"/>
      <c r="G114" s="2"/>
    </row>
    <row r="115" spans="1:7" x14ac:dyDescent="0.2">
      <c r="A115" s="1" t="s">
        <v>305</v>
      </c>
      <c r="B115" s="1">
        <v>49</v>
      </c>
      <c r="C115" s="1">
        <v>49</v>
      </c>
      <c r="D115" s="1">
        <f t="shared" si="1"/>
        <v>1</v>
      </c>
      <c r="E115" s="2"/>
      <c r="F115" s="2"/>
      <c r="G115" s="2"/>
    </row>
    <row r="116" spans="1:7" x14ac:dyDescent="0.2">
      <c r="A116" s="1" t="s">
        <v>306</v>
      </c>
      <c r="B116" s="1">
        <v>47</v>
      </c>
      <c r="C116" s="1">
        <v>47</v>
      </c>
      <c r="D116" s="1">
        <f t="shared" si="1"/>
        <v>1</v>
      </c>
      <c r="E116" s="2"/>
      <c r="F116" s="2"/>
      <c r="G116" s="2"/>
    </row>
    <row r="117" spans="1:7" x14ac:dyDescent="0.2">
      <c r="A117" s="1" t="s">
        <v>307</v>
      </c>
      <c r="B117" s="1">
        <v>46</v>
      </c>
      <c r="C117" s="1">
        <v>46</v>
      </c>
      <c r="D117" s="1">
        <f t="shared" si="1"/>
        <v>1</v>
      </c>
      <c r="E117" s="2"/>
      <c r="F117" s="2"/>
      <c r="G117" s="2"/>
    </row>
    <row r="118" spans="1:7" x14ac:dyDescent="0.2">
      <c r="A118" s="1" t="s">
        <v>308</v>
      </c>
      <c r="B118" s="1">
        <v>49</v>
      </c>
      <c r="C118" s="1">
        <v>49</v>
      </c>
      <c r="D118" s="1">
        <f t="shared" si="1"/>
        <v>1</v>
      </c>
      <c r="E118" s="2"/>
      <c r="F118" s="2"/>
      <c r="G118" s="2"/>
    </row>
    <row r="119" spans="1:7" x14ac:dyDescent="0.2">
      <c r="A119" s="1" t="s">
        <v>309</v>
      </c>
      <c r="B119" s="1">
        <v>47</v>
      </c>
      <c r="C119" s="1">
        <v>47</v>
      </c>
      <c r="D119" s="1">
        <f t="shared" si="1"/>
        <v>1</v>
      </c>
      <c r="E119" s="2"/>
      <c r="F119" s="2"/>
      <c r="G119" s="2"/>
    </row>
    <row r="120" spans="1:7" x14ac:dyDescent="0.2">
      <c r="A120" s="1" t="s">
        <v>310</v>
      </c>
      <c r="B120" s="1">
        <v>49</v>
      </c>
      <c r="C120" s="1">
        <v>49</v>
      </c>
      <c r="D120" s="1">
        <f t="shared" si="1"/>
        <v>1</v>
      </c>
      <c r="E120" s="2"/>
      <c r="F120" s="2"/>
      <c r="G120" s="2"/>
    </row>
    <row r="121" spans="1:7" x14ac:dyDescent="0.2">
      <c r="A121" s="1" t="s">
        <v>311</v>
      </c>
      <c r="B121" s="1">
        <v>46</v>
      </c>
      <c r="C121" s="1">
        <v>46</v>
      </c>
      <c r="D121" s="1">
        <f t="shared" si="1"/>
        <v>1</v>
      </c>
      <c r="E121" s="2"/>
      <c r="F121" s="2"/>
      <c r="G121" s="2"/>
    </row>
    <row r="122" spans="1:7" x14ac:dyDescent="0.2">
      <c r="A122" s="1" t="s">
        <v>312</v>
      </c>
      <c r="B122" s="1">
        <v>49</v>
      </c>
      <c r="C122" s="1">
        <v>49</v>
      </c>
      <c r="D122" s="1">
        <f t="shared" si="1"/>
        <v>1</v>
      </c>
      <c r="E122" s="2"/>
      <c r="F122" s="2"/>
      <c r="G122" s="2"/>
    </row>
    <row r="123" spans="1:7" x14ac:dyDescent="0.2">
      <c r="A123" s="1" t="s">
        <v>313</v>
      </c>
      <c r="B123" s="1">
        <v>49</v>
      </c>
      <c r="C123" s="1">
        <v>49</v>
      </c>
      <c r="D123" s="1">
        <f t="shared" si="1"/>
        <v>1</v>
      </c>
      <c r="E123" s="2"/>
      <c r="F123" s="2"/>
      <c r="G123" s="2"/>
    </row>
    <row r="124" spans="1:7" x14ac:dyDescent="0.2">
      <c r="A124" s="1" t="s">
        <v>314</v>
      </c>
      <c r="B124" s="1">
        <v>42</v>
      </c>
      <c r="C124" s="1">
        <v>42</v>
      </c>
      <c r="D124" s="1">
        <f t="shared" si="1"/>
        <v>1</v>
      </c>
      <c r="E124" s="2"/>
      <c r="F124" s="2"/>
      <c r="G124" s="2"/>
    </row>
    <row r="125" spans="1:7" x14ac:dyDescent="0.2">
      <c r="A125" s="1" t="s">
        <v>315</v>
      </c>
      <c r="B125" s="1">
        <v>28</v>
      </c>
      <c r="C125" s="1">
        <v>28</v>
      </c>
      <c r="D125" s="1">
        <f t="shared" si="1"/>
        <v>1</v>
      </c>
      <c r="E125" s="2"/>
      <c r="F125" s="2"/>
      <c r="G125" s="2"/>
    </row>
    <row r="126" spans="1:7" x14ac:dyDescent="0.2">
      <c r="A126" s="1" t="s">
        <v>316</v>
      </c>
      <c r="B126" s="1">
        <v>49</v>
      </c>
      <c r="C126" s="1">
        <v>49</v>
      </c>
      <c r="D126" s="1">
        <f t="shared" si="1"/>
        <v>1</v>
      </c>
      <c r="E126" s="2"/>
      <c r="F126" s="2"/>
      <c r="G126" s="2"/>
    </row>
    <row r="127" spans="1:7" x14ac:dyDescent="0.2">
      <c r="A127" s="1" t="s">
        <v>317</v>
      </c>
      <c r="B127" s="1">
        <v>49</v>
      </c>
      <c r="C127" s="1">
        <v>49</v>
      </c>
      <c r="D127" s="1">
        <f t="shared" si="1"/>
        <v>1</v>
      </c>
      <c r="E127" s="2"/>
      <c r="F127" s="2"/>
      <c r="G127" s="2"/>
    </row>
    <row r="128" spans="1:7" x14ac:dyDescent="0.2">
      <c r="A128" s="1" t="s">
        <v>318</v>
      </c>
      <c r="B128" s="1">
        <v>42</v>
      </c>
      <c r="C128" s="1">
        <v>42</v>
      </c>
      <c r="D128" s="1">
        <f t="shared" si="1"/>
        <v>1</v>
      </c>
      <c r="E128" s="2"/>
      <c r="F128" s="2"/>
      <c r="G128" s="2"/>
    </row>
    <row r="129" spans="1:7" x14ac:dyDescent="0.2">
      <c r="A129" s="1" t="s">
        <v>319</v>
      </c>
      <c r="B129" s="1">
        <v>46</v>
      </c>
      <c r="C129" s="1">
        <v>46</v>
      </c>
      <c r="D129" s="1">
        <f t="shared" si="1"/>
        <v>1</v>
      </c>
      <c r="E129" s="2"/>
      <c r="F129" s="2"/>
      <c r="G129" s="2"/>
    </row>
    <row r="130" spans="1:7" x14ac:dyDescent="0.2">
      <c r="A130" s="1" t="s">
        <v>320</v>
      </c>
      <c r="B130" s="1">
        <v>49</v>
      </c>
      <c r="C130" s="1">
        <v>49</v>
      </c>
      <c r="D130" s="1">
        <f t="shared" si="1"/>
        <v>1</v>
      </c>
      <c r="E130" s="2"/>
      <c r="F130" s="2"/>
      <c r="G130" s="2"/>
    </row>
    <row r="131" spans="1:7" x14ac:dyDescent="0.2">
      <c r="A131" s="1" t="s">
        <v>321</v>
      </c>
      <c r="B131" s="1">
        <v>49</v>
      </c>
      <c r="C131" s="1">
        <v>49</v>
      </c>
      <c r="D131" s="1">
        <f t="shared" ref="D131:D194" si="2">(B131/C131)</f>
        <v>1</v>
      </c>
      <c r="E131" s="2"/>
      <c r="F131" s="2"/>
      <c r="G131" s="2"/>
    </row>
    <row r="132" spans="1:7" x14ac:dyDescent="0.2">
      <c r="A132" s="1" t="s">
        <v>322</v>
      </c>
      <c r="B132" s="1">
        <v>47</v>
      </c>
      <c r="C132" s="1">
        <v>47</v>
      </c>
      <c r="D132" s="1">
        <f t="shared" si="2"/>
        <v>1</v>
      </c>
      <c r="E132" s="2"/>
      <c r="F132" s="2"/>
      <c r="G132" s="2"/>
    </row>
    <row r="133" spans="1:7" x14ac:dyDescent="0.2">
      <c r="A133" s="1" t="s">
        <v>323</v>
      </c>
      <c r="B133" s="1">
        <v>49</v>
      </c>
      <c r="C133" s="1">
        <v>49</v>
      </c>
      <c r="D133" s="1">
        <f t="shared" si="2"/>
        <v>1</v>
      </c>
      <c r="E133" s="2"/>
      <c r="F133" s="2"/>
      <c r="G133" s="2"/>
    </row>
    <row r="134" spans="1:7" x14ac:dyDescent="0.2">
      <c r="A134" s="1" t="s">
        <v>324</v>
      </c>
      <c r="B134" s="1">
        <v>49</v>
      </c>
      <c r="C134" s="1">
        <v>49</v>
      </c>
      <c r="D134" s="1">
        <f t="shared" si="2"/>
        <v>1</v>
      </c>
      <c r="E134" s="2"/>
      <c r="F134" s="2"/>
      <c r="G134" s="2"/>
    </row>
    <row r="135" spans="1:7" x14ac:dyDescent="0.2">
      <c r="A135" s="1" t="s">
        <v>325</v>
      </c>
      <c r="B135" s="1">
        <v>34</v>
      </c>
      <c r="C135" s="1">
        <v>34</v>
      </c>
      <c r="D135" s="1">
        <f t="shared" si="2"/>
        <v>1</v>
      </c>
      <c r="E135" s="2"/>
      <c r="F135" s="2"/>
      <c r="G135" s="2"/>
    </row>
    <row r="136" spans="1:7" x14ac:dyDescent="0.2">
      <c r="A136" s="1" t="s">
        <v>326</v>
      </c>
      <c r="B136" s="1">
        <v>49</v>
      </c>
      <c r="C136" s="1">
        <v>49</v>
      </c>
      <c r="D136" s="1">
        <f t="shared" si="2"/>
        <v>1</v>
      </c>
      <c r="E136" s="2"/>
      <c r="F136" s="2"/>
      <c r="G136" s="2"/>
    </row>
    <row r="137" spans="1:7" x14ac:dyDescent="0.2">
      <c r="A137" s="1" t="s">
        <v>327</v>
      </c>
      <c r="B137" s="1">
        <v>47</v>
      </c>
      <c r="C137" s="1">
        <v>47</v>
      </c>
      <c r="D137" s="1">
        <f t="shared" si="2"/>
        <v>1</v>
      </c>
      <c r="E137" s="2"/>
      <c r="F137" s="2"/>
      <c r="G137" s="2"/>
    </row>
    <row r="138" spans="1:7" x14ac:dyDescent="0.2">
      <c r="A138" s="1" t="s">
        <v>328</v>
      </c>
      <c r="B138" s="1">
        <v>49</v>
      </c>
      <c r="C138" s="1">
        <v>49</v>
      </c>
      <c r="D138" s="1">
        <f t="shared" si="2"/>
        <v>1</v>
      </c>
      <c r="E138" s="2"/>
      <c r="F138" s="2"/>
      <c r="G138" s="2"/>
    </row>
    <row r="139" spans="1:7" x14ac:dyDescent="0.2">
      <c r="A139" s="1" t="s">
        <v>329</v>
      </c>
      <c r="B139" s="1">
        <v>31</v>
      </c>
      <c r="C139" s="1">
        <v>31</v>
      </c>
      <c r="D139" s="1">
        <f t="shared" si="2"/>
        <v>1</v>
      </c>
      <c r="E139" s="2"/>
      <c r="F139" s="2"/>
      <c r="G139" s="2"/>
    </row>
    <row r="140" spans="1:7" x14ac:dyDescent="0.2">
      <c r="A140" s="1" t="s">
        <v>330</v>
      </c>
      <c r="B140" s="1">
        <v>49</v>
      </c>
      <c r="C140" s="1">
        <v>49</v>
      </c>
      <c r="D140" s="1">
        <f t="shared" si="2"/>
        <v>1</v>
      </c>
      <c r="E140" s="2"/>
      <c r="F140" s="2"/>
      <c r="G140" s="2"/>
    </row>
    <row r="141" spans="1:7" x14ac:dyDescent="0.2">
      <c r="A141" s="1" t="s">
        <v>331</v>
      </c>
      <c r="B141" s="1">
        <v>26</v>
      </c>
      <c r="C141" s="1">
        <v>26</v>
      </c>
      <c r="D141" s="1">
        <f t="shared" si="2"/>
        <v>1</v>
      </c>
      <c r="E141" s="2"/>
      <c r="F141" s="2"/>
      <c r="G141" s="2"/>
    </row>
    <row r="142" spans="1:7" x14ac:dyDescent="0.2">
      <c r="A142" s="1" t="s">
        <v>332</v>
      </c>
      <c r="B142" s="1">
        <v>49</v>
      </c>
      <c r="C142" s="1">
        <v>49</v>
      </c>
      <c r="D142" s="1">
        <f t="shared" si="2"/>
        <v>1</v>
      </c>
      <c r="E142" s="2"/>
      <c r="F142" s="2"/>
      <c r="G142" s="2"/>
    </row>
    <row r="143" spans="1:7" x14ac:dyDescent="0.2">
      <c r="A143" s="1" t="s">
        <v>333</v>
      </c>
      <c r="B143" s="1">
        <v>47</v>
      </c>
      <c r="C143" s="1">
        <v>47</v>
      </c>
      <c r="D143" s="1">
        <f t="shared" si="2"/>
        <v>1</v>
      </c>
      <c r="E143" s="2"/>
      <c r="F143" s="2"/>
      <c r="G143" s="2"/>
    </row>
    <row r="144" spans="1:7" x14ac:dyDescent="0.2">
      <c r="A144" s="1" t="s">
        <v>334</v>
      </c>
      <c r="B144" s="1">
        <v>28</v>
      </c>
      <c r="C144" s="1">
        <v>28</v>
      </c>
      <c r="D144" s="1">
        <f t="shared" si="2"/>
        <v>1</v>
      </c>
      <c r="E144" s="2"/>
      <c r="F144" s="2"/>
      <c r="G144" s="2"/>
    </row>
    <row r="145" spans="1:7" x14ac:dyDescent="0.2">
      <c r="A145" s="1" t="s">
        <v>335</v>
      </c>
      <c r="B145" s="1">
        <v>46</v>
      </c>
      <c r="C145" s="1">
        <v>46</v>
      </c>
      <c r="D145" s="1">
        <f t="shared" si="2"/>
        <v>1</v>
      </c>
      <c r="E145" s="2"/>
      <c r="F145" s="2"/>
      <c r="G145" s="2"/>
    </row>
    <row r="146" spans="1:7" x14ac:dyDescent="0.2">
      <c r="A146" s="1" t="s">
        <v>336</v>
      </c>
      <c r="B146" s="1">
        <v>49</v>
      </c>
      <c r="C146" s="1">
        <v>49</v>
      </c>
      <c r="D146" s="1">
        <f t="shared" si="2"/>
        <v>1</v>
      </c>
      <c r="E146" s="2"/>
      <c r="F146" s="2"/>
      <c r="G146" s="2"/>
    </row>
    <row r="147" spans="1:7" x14ac:dyDescent="0.2">
      <c r="A147" s="1" t="s">
        <v>337</v>
      </c>
      <c r="B147" s="1">
        <v>49</v>
      </c>
      <c r="C147" s="1">
        <v>49</v>
      </c>
      <c r="D147" s="1">
        <f t="shared" si="2"/>
        <v>1</v>
      </c>
      <c r="E147" s="2"/>
      <c r="F147" s="2"/>
      <c r="G147" s="2"/>
    </row>
    <row r="148" spans="1:7" x14ac:dyDescent="0.2">
      <c r="A148" s="1" t="s">
        <v>338</v>
      </c>
      <c r="B148" s="1">
        <v>28</v>
      </c>
      <c r="C148" s="1">
        <v>28</v>
      </c>
      <c r="D148" s="1">
        <f t="shared" si="2"/>
        <v>1</v>
      </c>
      <c r="E148" s="2"/>
      <c r="F148" s="2"/>
      <c r="G148" s="2"/>
    </row>
    <row r="149" spans="1:7" x14ac:dyDescent="0.2">
      <c r="A149" s="1" t="s">
        <v>339</v>
      </c>
      <c r="B149" s="1">
        <v>46</v>
      </c>
      <c r="C149" s="1">
        <v>46</v>
      </c>
      <c r="D149" s="1">
        <f t="shared" si="2"/>
        <v>1</v>
      </c>
      <c r="E149" s="2"/>
      <c r="F149" s="2"/>
      <c r="G149" s="2"/>
    </row>
    <row r="150" spans="1:7" x14ac:dyDescent="0.2">
      <c r="A150" s="1" t="s">
        <v>340</v>
      </c>
      <c r="B150" s="1">
        <v>49</v>
      </c>
      <c r="C150" s="1">
        <v>49</v>
      </c>
      <c r="D150" s="1">
        <f t="shared" si="2"/>
        <v>1</v>
      </c>
      <c r="E150" s="2"/>
      <c r="F150" s="2"/>
      <c r="G150" s="2"/>
    </row>
    <row r="151" spans="1:7" x14ac:dyDescent="0.2">
      <c r="A151" s="1" t="s">
        <v>341</v>
      </c>
      <c r="B151" s="1">
        <v>37</v>
      </c>
      <c r="C151" s="1">
        <v>37</v>
      </c>
      <c r="D151" s="1">
        <f t="shared" si="2"/>
        <v>1</v>
      </c>
      <c r="E151" s="2"/>
      <c r="F151" s="2"/>
      <c r="G151" s="2"/>
    </row>
    <row r="152" spans="1:7" x14ac:dyDescent="0.2">
      <c r="A152" s="1" t="s">
        <v>342</v>
      </c>
      <c r="B152" s="1">
        <v>46</v>
      </c>
      <c r="C152" s="1">
        <v>46</v>
      </c>
      <c r="D152" s="1">
        <f t="shared" si="2"/>
        <v>1</v>
      </c>
      <c r="E152" s="2"/>
      <c r="F152" s="2"/>
      <c r="G152" s="2"/>
    </row>
    <row r="153" spans="1:7" x14ac:dyDescent="0.2">
      <c r="A153" s="1" t="s">
        <v>343</v>
      </c>
      <c r="B153" s="1">
        <v>49</v>
      </c>
      <c r="C153" s="1">
        <v>49</v>
      </c>
      <c r="D153" s="1">
        <f t="shared" si="2"/>
        <v>1</v>
      </c>
      <c r="E153" s="2"/>
      <c r="F153" s="2"/>
      <c r="G153" s="2"/>
    </row>
    <row r="154" spans="1:7" x14ac:dyDescent="0.2">
      <c r="A154" s="1" t="s">
        <v>344</v>
      </c>
      <c r="B154" s="1">
        <v>49</v>
      </c>
      <c r="C154" s="1">
        <v>49</v>
      </c>
      <c r="D154" s="1">
        <f t="shared" si="2"/>
        <v>1</v>
      </c>
      <c r="E154" s="2"/>
      <c r="F154" s="2"/>
      <c r="G154" s="2"/>
    </row>
    <row r="155" spans="1:7" x14ac:dyDescent="0.2">
      <c r="A155" s="1" t="s">
        <v>345</v>
      </c>
      <c r="B155" s="1">
        <v>49</v>
      </c>
      <c r="C155" s="1">
        <v>49</v>
      </c>
      <c r="D155" s="1">
        <f t="shared" si="2"/>
        <v>1</v>
      </c>
      <c r="E155" s="2"/>
      <c r="F155" s="2"/>
      <c r="G155" s="2"/>
    </row>
    <row r="156" spans="1:7" x14ac:dyDescent="0.2">
      <c r="A156" s="1" t="s">
        <v>346</v>
      </c>
      <c r="B156" s="1">
        <v>20</v>
      </c>
      <c r="C156" s="1">
        <v>20</v>
      </c>
      <c r="D156" s="1">
        <f t="shared" si="2"/>
        <v>1</v>
      </c>
      <c r="E156" s="2"/>
      <c r="F156" s="2"/>
      <c r="G156" s="2"/>
    </row>
    <row r="157" spans="1:7" x14ac:dyDescent="0.2">
      <c r="A157" s="1" t="s">
        <v>347</v>
      </c>
      <c r="B157" s="1">
        <v>9</v>
      </c>
      <c r="C157" s="1">
        <v>9</v>
      </c>
      <c r="D157" s="1">
        <f t="shared" si="2"/>
        <v>1</v>
      </c>
      <c r="E157" s="2"/>
      <c r="F157" s="2"/>
      <c r="G157" s="2"/>
    </row>
    <row r="158" spans="1:7" x14ac:dyDescent="0.2">
      <c r="A158" s="1" t="s">
        <v>348</v>
      </c>
      <c r="B158" s="1">
        <v>47</v>
      </c>
      <c r="C158" s="1">
        <v>47</v>
      </c>
      <c r="D158" s="1">
        <f t="shared" si="2"/>
        <v>1</v>
      </c>
      <c r="E158" s="2"/>
      <c r="F158" s="2"/>
      <c r="G158" s="2"/>
    </row>
    <row r="159" spans="1:7" x14ac:dyDescent="0.2">
      <c r="A159" s="1" t="s">
        <v>349</v>
      </c>
      <c r="B159" s="1">
        <v>29</v>
      </c>
      <c r="C159" s="1">
        <v>29</v>
      </c>
      <c r="D159" s="1">
        <f t="shared" si="2"/>
        <v>1</v>
      </c>
      <c r="E159" s="2"/>
      <c r="F159" s="2"/>
      <c r="G159" s="2"/>
    </row>
    <row r="160" spans="1:7" x14ac:dyDescent="0.2">
      <c r="A160" s="1" t="s">
        <v>350</v>
      </c>
      <c r="B160" s="1">
        <v>49</v>
      </c>
      <c r="C160" s="1">
        <v>49</v>
      </c>
      <c r="D160" s="1">
        <f t="shared" si="2"/>
        <v>1</v>
      </c>
      <c r="E160" s="2"/>
      <c r="F160" s="2"/>
      <c r="G160" s="2"/>
    </row>
    <row r="161" spans="1:7" x14ac:dyDescent="0.2">
      <c r="A161" s="1" t="s">
        <v>351</v>
      </c>
      <c r="B161" s="1">
        <v>46</v>
      </c>
      <c r="C161" s="1">
        <v>46</v>
      </c>
      <c r="D161" s="1">
        <f t="shared" si="2"/>
        <v>1</v>
      </c>
      <c r="E161" s="2"/>
      <c r="F161" s="2"/>
      <c r="G161" s="2"/>
    </row>
    <row r="162" spans="1:7" x14ac:dyDescent="0.2">
      <c r="A162" s="1" t="s">
        <v>352</v>
      </c>
      <c r="B162" s="1">
        <v>49</v>
      </c>
      <c r="C162" s="1">
        <v>49</v>
      </c>
      <c r="D162" s="1">
        <f t="shared" si="2"/>
        <v>1</v>
      </c>
      <c r="E162" s="2"/>
      <c r="F162" s="2"/>
      <c r="G162" s="2"/>
    </row>
    <row r="163" spans="1:7" x14ac:dyDescent="0.2">
      <c r="A163" s="1" t="s">
        <v>353</v>
      </c>
      <c r="B163" s="1">
        <v>33</v>
      </c>
      <c r="C163" s="1">
        <v>33</v>
      </c>
      <c r="D163" s="1">
        <f t="shared" si="2"/>
        <v>1</v>
      </c>
      <c r="E163" s="2"/>
      <c r="F163" s="2"/>
      <c r="G163" s="2"/>
    </row>
    <row r="164" spans="1:7" x14ac:dyDescent="0.2">
      <c r="A164" s="1" t="s">
        <v>354</v>
      </c>
      <c r="B164" s="1">
        <v>49</v>
      </c>
      <c r="C164" s="1">
        <v>49</v>
      </c>
      <c r="D164" s="1">
        <f t="shared" si="2"/>
        <v>1</v>
      </c>
      <c r="E164" s="2"/>
      <c r="F164" s="2"/>
      <c r="G164" s="2"/>
    </row>
    <row r="165" spans="1:7" x14ac:dyDescent="0.2">
      <c r="A165" s="1" t="s">
        <v>355</v>
      </c>
      <c r="B165" s="1">
        <v>46</v>
      </c>
      <c r="C165" s="1">
        <v>46</v>
      </c>
      <c r="D165" s="1">
        <f t="shared" si="2"/>
        <v>1</v>
      </c>
      <c r="E165" s="2"/>
      <c r="F165" s="2"/>
      <c r="G165" s="2"/>
    </row>
    <row r="166" spans="1:7" x14ac:dyDescent="0.2">
      <c r="A166" s="1" t="s">
        <v>356</v>
      </c>
      <c r="B166" s="1">
        <v>6</v>
      </c>
      <c r="C166" s="1">
        <v>6</v>
      </c>
      <c r="D166" s="1">
        <f t="shared" si="2"/>
        <v>1</v>
      </c>
      <c r="E166" s="2"/>
      <c r="F166" s="2"/>
      <c r="G166" s="2"/>
    </row>
    <row r="167" spans="1:7" x14ac:dyDescent="0.2">
      <c r="A167" s="1" t="s">
        <v>357</v>
      </c>
      <c r="B167" s="1">
        <v>49</v>
      </c>
      <c r="C167" s="1">
        <v>49</v>
      </c>
      <c r="D167" s="1">
        <f t="shared" si="2"/>
        <v>1</v>
      </c>
      <c r="E167" s="2"/>
      <c r="F167" s="2"/>
      <c r="G167" s="2"/>
    </row>
    <row r="168" spans="1:7" x14ac:dyDescent="0.2">
      <c r="A168" s="1" t="s">
        <v>358</v>
      </c>
      <c r="B168" s="1">
        <v>49</v>
      </c>
      <c r="C168" s="1">
        <v>49</v>
      </c>
      <c r="D168" s="1">
        <f t="shared" si="2"/>
        <v>1</v>
      </c>
      <c r="E168" s="2"/>
      <c r="F168" s="2"/>
      <c r="G168" s="2"/>
    </row>
    <row r="169" spans="1:7" x14ac:dyDescent="0.2">
      <c r="A169" s="1" t="s">
        <v>359</v>
      </c>
      <c r="B169" s="1">
        <v>49</v>
      </c>
      <c r="C169" s="1">
        <v>49</v>
      </c>
      <c r="D169" s="1">
        <f t="shared" si="2"/>
        <v>1</v>
      </c>
      <c r="E169" s="2"/>
      <c r="F169" s="2"/>
      <c r="G169" s="2"/>
    </row>
    <row r="170" spans="1:7" x14ac:dyDescent="0.2">
      <c r="A170" s="1" t="s">
        <v>360</v>
      </c>
      <c r="B170" s="1">
        <v>9</v>
      </c>
      <c r="C170" s="1">
        <v>9</v>
      </c>
      <c r="D170" s="1">
        <f t="shared" si="2"/>
        <v>1</v>
      </c>
      <c r="E170" s="2"/>
      <c r="F170" s="2"/>
      <c r="G170" s="2"/>
    </row>
    <row r="171" spans="1:7" x14ac:dyDescent="0.2">
      <c r="A171" s="1" t="s">
        <v>361</v>
      </c>
      <c r="B171" s="1">
        <v>49</v>
      </c>
      <c r="C171" s="1">
        <v>49</v>
      </c>
      <c r="D171" s="1">
        <f t="shared" si="2"/>
        <v>1</v>
      </c>
      <c r="E171" s="2"/>
      <c r="F171" s="2"/>
      <c r="G171" s="2"/>
    </row>
    <row r="172" spans="1:7" x14ac:dyDescent="0.2">
      <c r="A172" s="1" t="s">
        <v>362</v>
      </c>
      <c r="B172" s="1">
        <v>49</v>
      </c>
      <c r="C172" s="1">
        <v>49</v>
      </c>
      <c r="D172" s="1">
        <f t="shared" si="2"/>
        <v>1</v>
      </c>
      <c r="E172" s="2"/>
      <c r="F172" s="2"/>
      <c r="G172" s="2"/>
    </row>
    <row r="173" spans="1:7" x14ac:dyDescent="0.2">
      <c r="A173" s="1" t="s">
        <v>363</v>
      </c>
      <c r="B173" s="1">
        <v>44</v>
      </c>
      <c r="C173" s="1">
        <v>44</v>
      </c>
      <c r="D173" s="1">
        <f t="shared" si="2"/>
        <v>1</v>
      </c>
      <c r="E173" s="2"/>
      <c r="F173" s="2"/>
      <c r="G173" s="2"/>
    </row>
    <row r="174" spans="1:7" x14ac:dyDescent="0.2">
      <c r="A174" s="1" t="s">
        <v>364</v>
      </c>
      <c r="B174" s="1">
        <v>46</v>
      </c>
      <c r="C174" s="1">
        <v>46</v>
      </c>
      <c r="D174" s="1">
        <f t="shared" si="2"/>
        <v>1</v>
      </c>
      <c r="E174" s="2"/>
      <c r="F174" s="2"/>
      <c r="G174" s="2"/>
    </row>
    <row r="175" spans="1:7" x14ac:dyDescent="0.2">
      <c r="A175" s="1" t="s">
        <v>365</v>
      </c>
      <c r="B175" s="1">
        <v>49</v>
      </c>
      <c r="C175" s="1">
        <v>49</v>
      </c>
      <c r="D175" s="1">
        <f t="shared" si="2"/>
        <v>1</v>
      </c>
      <c r="E175" s="2"/>
      <c r="F175" s="2"/>
      <c r="G175" s="2"/>
    </row>
    <row r="176" spans="1:7" x14ac:dyDescent="0.2">
      <c r="A176" s="1" t="s">
        <v>366</v>
      </c>
      <c r="B176" s="1">
        <v>49</v>
      </c>
      <c r="C176" s="1">
        <v>49</v>
      </c>
      <c r="D176" s="1">
        <f t="shared" si="2"/>
        <v>1</v>
      </c>
      <c r="E176" s="2"/>
      <c r="F176" s="2"/>
      <c r="G176" s="2"/>
    </row>
    <row r="177" spans="1:7" x14ac:dyDescent="0.2">
      <c r="A177" s="1" t="s">
        <v>367</v>
      </c>
      <c r="B177" s="1">
        <v>49</v>
      </c>
      <c r="C177" s="1">
        <v>49</v>
      </c>
      <c r="D177" s="1">
        <f t="shared" si="2"/>
        <v>1</v>
      </c>
      <c r="E177" s="2"/>
      <c r="F177" s="2"/>
      <c r="G177" s="2"/>
    </row>
    <row r="178" spans="1:7" x14ac:dyDescent="0.2">
      <c r="A178" s="1" t="s">
        <v>368</v>
      </c>
      <c r="B178" s="1">
        <v>9</v>
      </c>
      <c r="C178" s="1">
        <v>9</v>
      </c>
      <c r="D178" s="1">
        <f t="shared" si="2"/>
        <v>1</v>
      </c>
      <c r="E178" s="2"/>
      <c r="F178" s="2"/>
      <c r="G178" s="2"/>
    </row>
    <row r="179" spans="1:7" x14ac:dyDescent="0.2">
      <c r="A179" s="1" t="s">
        <v>369</v>
      </c>
      <c r="B179" s="1">
        <v>15</v>
      </c>
      <c r="C179" s="1">
        <v>15</v>
      </c>
      <c r="D179" s="1">
        <f t="shared" si="2"/>
        <v>1</v>
      </c>
      <c r="E179" s="2"/>
      <c r="F179" s="2"/>
      <c r="G179" s="2"/>
    </row>
    <row r="180" spans="1:7" x14ac:dyDescent="0.2">
      <c r="A180" s="1" t="s">
        <v>370</v>
      </c>
      <c r="B180" s="1">
        <v>39</v>
      </c>
      <c r="C180" s="1">
        <v>39</v>
      </c>
      <c r="D180" s="1">
        <f t="shared" si="2"/>
        <v>1</v>
      </c>
      <c r="E180" s="2"/>
      <c r="F180" s="2"/>
      <c r="G180" s="2"/>
    </row>
    <row r="181" spans="1:7" x14ac:dyDescent="0.2">
      <c r="A181" s="1" t="s">
        <v>371</v>
      </c>
      <c r="B181" s="1">
        <v>47</v>
      </c>
      <c r="C181" s="1">
        <v>47</v>
      </c>
      <c r="D181" s="1">
        <f t="shared" si="2"/>
        <v>1</v>
      </c>
      <c r="E181" s="2"/>
      <c r="F181" s="2"/>
      <c r="G181" s="2"/>
    </row>
    <row r="182" spans="1:7" x14ac:dyDescent="0.2">
      <c r="A182" s="1" t="s">
        <v>372</v>
      </c>
      <c r="B182" s="1">
        <v>12</v>
      </c>
      <c r="C182" s="1">
        <v>12</v>
      </c>
      <c r="D182" s="1">
        <f t="shared" si="2"/>
        <v>1</v>
      </c>
      <c r="E182" s="2"/>
      <c r="F182" s="2"/>
      <c r="G182" s="2"/>
    </row>
    <row r="183" spans="1:7" x14ac:dyDescent="0.2">
      <c r="A183" s="1" t="s">
        <v>373</v>
      </c>
      <c r="B183" s="1">
        <v>26</v>
      </c>
      <c r="C183" s="1">
        <v>26</v>
      </c>
      <c r="D183" s="1">
        <f t="shared" si="2"/>
        <v>1</v>
      </c>
      <c r="E183" s="2"/>
      <c r="F183" s="2"/>
      <c r="G183" s="2"/>
    </row>
    <row r="184" spans="1:7" x14ac:dyDescent="0.2">
      <c r="A184" s="1" t="s">
        <v>374</v>
      </c>
      <c r="B184" s="1">
        <v>44</v>
      </c>
      <c r="C184" s="1">
        <v>44</v>
      </c>
      <c r="D184" s="1">
        <f t="shared" si="2"/>
        <v>1</v>
      </c>
      <c r="E184" s="2"/>
      <c r="F184" s="2"/>
      <c r="G184" s="2"/>
    </row>
    <row r="185" spans="1:7" x14ac:dyDescent="0.2">
      <c r="A185" s="1" t="s">
        <v>375</v>
      </c>
      <c r="B185" s="1">
        <v>44</v>
      </c>
      <c r="C185" s="1">
        <v>44</v>
      </c>
      <c r="D185" s="1">
        <f t="shared" si="2"/>
        <v>1</v>
      </c>
      <c r="E185" s="2"/>
      <c r="F185" s="2"/>
      <c r="G185" s="2"/>
    </row>
    <row r="186" spans="1:7" x14ac:dyDescent="0.2">
      <c r="A186" s="1" t="s">
        <v>376</v>
      </c>
      <c r="B186" s="1">
        <v>30</v>
      </c>
      <c r="C186" s="1">
        <v>30</v>
      </c>
      <c r="D186" s="1">
        <f t="shared" si="2"/>
        <v>1</v>
      </c>
      <c r="E186" s="2"/>
      <c r="F186" s="2"/>
      <c r="G186" s="2"/>
    </row>
    <row r="187" spans="1:7" x14ac:dyDescent="0.2">
      <c r="A187" s="1" t="s">
        <v>377</v>
      </c>
      <c r="B187" s="1">
        <v>47</v>
      </c>
      <c r="C187" s="1">
        <v>47</v>
      </c>
      <c r="D187" s="1">
        <f t="shared" si="2"/>
        <v>1</v>
      </c>
      <c r="E187" s="2"/>
      <c r="F187" s="2"/>
      <c r="G187" s="2"/>
    </row>
    <row r="188" spans="1:7" x14ac:dyDescent="0.2">
      <c r="A188" s="1" t="s">
        <v>378</v>
      </c>
      <c r="B188" s="1">
        <v>46</v>
      </c>
      <c r="C188" s="1">
        <v>46</v>
      </c>
      <c r="D188" s="1">
        <f t="shared" si="2"/>
        <v>1</v>
      </c>
      <c r="E188" s="2"/>
      <c r="F188" s="2"/>
      <c r="G188" s="2"/>
    </row>
    <row r="189" spans="1:7" x14ac:dyDescent="0.2">
      <c r="A189" s="1" t="s">
        <v>379</v>
      </c>
      <c r="B189" s="1">
        <v>49</v>
      </c>
      <c r="C189" s="1">
        <v>49</v>
      </c>
      <c r="D189" s="1">
        <f t="shared" si="2"/>
        <v>1</v>
      </c>
      <c r="E189" s="2"/>
      <c r="F189" s="2"/>
      <c r="G189" s="2"/>
    </row>
    <row r="190" spans="1:7" x14ac:dyDescent="0.2">
      <c r="A190" s="1" t="s">
        <v>380</v>
      </c>
      <c r="B190" s="1">
        <v>49</v>
      </c>
      <c r="C190" s="1">
        <v>49</v>
      </c>
      <c r="D190" s="1">
        <f t="shared" si="2"/>
        <v>1</v>
      </c>
      <c r="E190" s="2"/>
      <c r="F190" s="2"/>
      <c r="G190" s="2"/>
    </row>
    <row r="191" spans="1:7" x14ac:dyDescent="0.2">
      <c r="A191" s="1" t="s">
        <v>381</v>
      </c>
      <c r="B191" s="1">
        <v>49</v>
      </c>
      <c r="C191" s="1">
        <v>49</v>
      </c>
      <c r="D191" s="1">
        <f t="shared" si="2"/>
        <v>1</v>
      </c>
      <c r="E191" s="2"/>
      <c r="F191" s="2"/>
      <c r="G191" s="2"/>
    </row>
    <row r="192" spans="1:7" x14ac:dyDescent="0.2">
      <c r="A192" s="1" t="s">
        <v>382</v>
      </c>
      <c r="B192" s="1">
        <v>49</v>
      </c>
      <c r="C192" s="1">
        <v>49</v>
      </c>
      <c r="D192" s="1">
        <f t="shared" si="2"/>
        <v>1</v>
      </c>
      <c r="E192" s="2"/>
      <c r="F192" s="2"/>
      <c r="G192" s="2"/>
    </row>
    <row r="193" spans="1:7" x14ac:dyDescent="0.2">
      <c r="A193" s="1" t="s">
        <v>383</v>
      </c>
      <c r="B193" s="1">
        <v>49</v>
      </c>
      <c r="C193" s="1">
        <v>49</v>
      </c>
      <c r="D193" s="1">
        <f t="shared" si="2"/>
        <v>1</v>
      </c>
      <c r="E193" s="2"/>
      <c r="F193" s="2"/>
      <c r="G193" s="2"/>
    </row>
    <row r="194" spans="1:7" x14ac:dyDescent="0.2">
      <c r="A194" s="1" t="s">
        <v>384</v>
      </c>
      <c r="B194" s="1">
        <v>24</v>
      </c>
      <c r="C194" s="1">
        <v>24</v>
      </c>
      <c r="D194" s="1">
        <f t="shared" si="2"/>
        <v>1</v>
      </c>
      <c r="E194" s="2"/>
      <c r="F194" s="2"/>
      <c r="G194" s="2"/>
    </row>
    <row r="195" spans="1:7" x14ac:dyDescent="0.2">
      <c r="A195" s="1" t="s">
        <v>385</v>
      </c>
      <c r="B195" s="1">
        <v>49</v>
      </c>
      <c r="C195" s="1">
        <v>49</v>
      </c>
      <c r="D195" s="1">
        <f t="shared" ref="D195:D237" si="3">(B195/C195)</f>
        <v>1</v>
      </c>
      <c r="E195" s="2"/>
      <c r="F195" s="2"/>
      <c r="G195" s="2"/>
    </row>
    <row r="196" spans="1:7" x14ac:dyDescent="0.2">
      <c r="A196" s="1" t="s">
        <v>386</v>
      </c>
      <c r="B196" s="1">
        <v>49</v>
      </c>
      <c r="C196" s="1">
        <v>49</v>
      </c>
      <c r="D196" s="1">
        <f t="shared" si="3"/>
        <v>1</v>
      </c>
      <c r="E196" s="2"/>
      <c r="F196" s="2"/>
      <c r="G196" s="2"/>
    </row>
    <row r="197" spans="1:7" x14ac:dyDescent="0.2">
      <c r="A197" s="1" t="s">
        <v>387</v>
      </c>
      <c r="B197" s="1">
        <v>44</v>
      </c>
      <c r="C197" s="1">
        <v>44</v>
      </c>
      <c r="D197" s="1">
        <f t="shared" si="3"/>
        <v>1</v>
      </c>
      <c r="E197" s="2"/>
      <c r="F197" s="2"/>
      <c r="G197" s="2"/>
    </row>
    <row r="198" spans="1:7" x14ac:dyDescent="0.2">
      <c r="A198" s="1" t="s">
        <v>388</v>
      </c>
      <c r="B198" s="1">
        <v>41</v>
      </c>
      <c r="C198" s="1">
        <v>41</v>
      </c>
      <c r="D198" s="1">
        <f t="shared" si="3"/>
        <v>1</v>
      </c>
      <c r="E198" s="2"/>
      <c r="F198" s="2"/>
      <c r="G198" s="2"/>
    </row>
    <row r="199" spans="1:7" x14ac:dyDescent="0.2">
      <c r="A199" s="1" t="s">
        <v>389</v>
      </c>
      <c r="B199" s="1">
        <v>49</v>
      </c>
      <c r="C199" s="1">
        <v>49</v>
      </c>
      <c r="D199" s="1">
        <f t="shared" si="3"/>
        <v>1</v>
      </c>
      <c r="E199" s="2"/>
      <c r="F199" s="2"/>
      <c r="G199" s="2"/>
    </row>
    <row r="200" spans="1:7" x14ac:dyDescent="0.2">
      <c r="A200" s="1" t="s">
        <v>390</v>
      </c>
      <c r="B200" s="1">
        <v>47</v>
      </c>
      <c r="C200" s="1">
        <v>47</v>
      </c>
      <c r="D200" s="1">
        <f t="shared" si="3"/>
        <v>1</v>
      </c>
      <c r="E200" s="2"/>
      <c r="F200" s="2"/>
      <c r="G200" s="2"/>
    </row>
    <row r="201" spans="1:7" x14ac:dyDescent="0.2">
      <c r="A201" s="1" t="s">
        <v>391</v>
      </c>
      <c r="B201" s="1">
        <v>49</v>
      </c>
      <c r="C201" s="1">
        <v>49</v>
      </c>
      <c r="D201" s="1">
        <f t="shared" si="3"/>
        <v>1</v>
      </c>
      <c r="E201" s="2"/>
      <c r="F201" s="2"/>
      <c r="G201" s="2"/>
    </row>
    <row r="202" spans="1:7" x14ac:dyDescent="0.2">
      <c r="A202" s="1" t="s">
        <v>392</v>
      </c>
      <c r="B202" s="1">
        <v>49</v>
      </c>
      <c r="C202" s="1">
        <v>49</v>
      </c>
      <c r="D202" s="1">
        <f t="shared" si="3"/>
        <v>1</v>
      </c>
      <c r="E202" s="2"/>
      <c r="F202" s="2"/>
      <c r="G202" s="2"/>
    </row>
    <row r="203" spans="1:7" x14ac:dyDescent="0.2">
      <c r="A203" s="1" t="s">
        <v>393</v>
      </c>
      <c r="B203" s="1">
        <v>47</v>
      </c>
      <c r="C203" s="1">
        <v>47</v>
      </c>
      <c r="D203" s="1">
        <f t="shared" si="3"/>
        <v>1</v>
      </c>
      <c r="E203" s="2"/>
      <c r="F203" s="2"/>
      <c r="G203" s="2"/>
    </row>
    <row r="204" spans="1:7" x14ac:dyDescent="0.2">
      <c r="A204" s="1" t="s">
        <v>394</v>
      </c>
      <c r="B204" s="1">
        <v>49</v>
      </c>
      <c r="C204" s="1">
        <v>49</v>
      </c>
      <c r="D204" s="1">
        <f t="shared" si="3"/>
        <v>1</v>
      </c>
      <c r="E204" s="2"/>
      <c r="F204" s="2"/>
      <c r="G204" s="2"/>
    </row>
    <row r="205" spans="1:7" x14ac:dyDescent="0.2">
      <c r="A205" s="1" t="s">
        <v>395</v>
      </c>
      <c r="B205" s="1">
        <v>6</v>
      </c>
      <c r="C205" s="1">
        <v>6</v>
      </c>
      <c r="D205" s="1">
        <f t="shared" si="3"/>
        <v>1</v>
      </c>
      <c r="E205" s="2"/>
      <c r="F205" s="2"/>
      <c r="G205" s="2"/>
    </row>
    <row r="206" spans="1:7" x14ac:dyDescent="0.2">
      <c r="A206" s="1" t="s">
        <v>396</v>
      </c>
      <c r="B206" s="1">
        <v>49</v>
      </c>
      <c r="C206" s="1">
        <v>49</v>
      </c>
      <c r="D206" s="1">
        <f t="shared" si="3"/>
        <v>1</v>
      </c>
      <c r="E206" s="2"/>
      <c r="F206" s="2"/>
      <c r="G206" s="2"/>
    </row>
    <row r="207" spans="1:7" x14ac:dyDescent="0.2">
      <c r="A207" s="1" t="s">
        <v>397</v>
      </c>
      <c r="B207" s="1">
        <v>49</v>
      </c>
      <c r="C207" s="1">
        <v>49</v>
      </c>
      <c r="D207" s="1">
        <f t="shared" si="3"/>
        <v>1</v>
      </c>
      <c r="E207" s="2"/>
      <c r="F207" s="2"/>
      <c r="G207" s="2"/>
    </row>
    <row r="208" spans="1:7" x14ac:dyDescent="0.2">
      <c r="A208" s="1" t="s">
        <v>398</v>
      </c>
      <c r="B208" s="1">
        <v>45</v>
      </c>
      <c r="C208" s="1">
        <v>45</v>
      </c>
      <c r="D208" s="1">
        <f t="shared" si="3"/>
        <v>1</v>
      </c>
      <c r="E208" s="2"/>
      <c r="F208" s="2"/>
      <c r="G208" s="2"/>
    </row>
    <row r="209" spans="1:7" x14ac:dyDescent="0.2">
      <c r="A209" s="1" t="s">
        <v>399</v>
      </c>
      <c r="B209" s="1">
        <v>45</v>
      </c>
      <c r="C209" s="1">
        <v>45</v>
      </c>
      <c r="D209" s="1">
        <f t="shared" si="3"/>
        <v>1</v>
      </c>
      <c r="E209" s="2"/>
      <c r="F209" s="2"/>
      <c r="G209" s="2"/>
    </row>
    <row r="210" spans="1:7" x14ac:dyDescent="0.2">
      <c r="A210" s="1" t="s">
        <v>400</v>
      </c>
      <c r="B210" s="1">
        <v>49</v>
      </c>
      <c r="C210" s="1">
        <v>49</v>
      </c>
      <c r="D210" s="1">
        <f t="shared" si="3"/>
        <v>1</v>
      </c>
      <c r="E210" s="2"/>
      <c r="F210" s="2"/>
      <c r="G210" s="2"/>
    </row>
    <row r="211" spans="1:7" x14ac:dyDescent="0.2">
      <c r="A211" s="1" t="s">
        <v>401</v>
      </c>
      <c r="B211" s="1">
        <v>49</v>
      </c>
      <c r="C211" s="1">
        <v>49</v>
      </c>
      <c r="D211" s="1">
        <f t="shared" si="3"/>
        <v>1</v>
      </c>
      <c r="E211" s="2"/>
      <c r="F211" s="2"/>
      <c r="G211" s="2"/>
    </row>
    <row r="212" spans="1:7" x14ac:dyDescent="0.2">
      <c r="A212" s="1" t="s">
        <v>402</v>
      </c>
      <c r="B212" s="1">
        <v>49</v>
      </c>
      <c r="C212" s="1">
        <v>49</v>
      </c>
      <c r="D212" s="1">
        <f t="shared" si="3"/>
        <v>1</v>
      </c>
      <c r="E212" s="2"/>
      <c r="F212" s="2"/>
      <c r="G212" s="2"/>
    </row>
    <row r="213" spans="1:7" x14ac:dyDescent="0.2">
      <c r="A213" s="1" t="s">
        <v>403</v>
      </c>
      <c r="B213" s="1">
        <v>49</v>
      </c>
      <c r="C213" s="1">
        <v>49</v>
      </c>
      <c r="D213" s="1">
        <f t="shared" si="3"/>
        <v>1</v>
      </c>
      <c r="E213" s="2"/>
      <c r="F213" s="2"/>
      <c r="G213" s="2"/>
    </row>
    <row r="214" spans="1:7" x14ac:dyDescent="0.2">
      <c r="A214" s="1" t="s">
        <v>404</v>
      </c>
      <c r="B214" s="1">
        <v>49</v>
      </c>
      <c r="C214" s="1">
        <v>49</v>
      </c>
      <c r="D214" s="1">
        <f t="shared" si="3"/>
        <v>1</v>
      </c>
      <c r="E214" s="2"/>
      <c r="F214" s="2"/>
      <c r="G214" s="2"/>
    </row>
    <row r="215" spans="1:7" x14ac:dyDescent="0.2">
      <c r="A215" s="1" t="s">
        <v>405</v>
      </c>
      <c r="B215" s="1">
        <v>22</v>
      </c>
      <c r="C215" s="1">
        <v>22</v>
      </c>
      <c r="D215" s="1">
        <f t="shared" si="3"/>
        <v>1</v>
      </c>
      <c r="E215" s="2"/>
      <c r="F215" s="2"/>
      <c r="G215" s="2"/>
    </row>
    <row r="216" spans="1:7" x14ac:dyDescent="0.2">
      <c r="A216" s="1" t="s">
        <v>406</v>
      </c>
      <c r="B216" s="1">
        <v>49</v>
      </c>
      <c r="C216" s="1">
        <v>49</v>
      </c>
      <c r="D216" s="1">
        <f t="shared" si="3"/>
        <v>1</v>
      </c>
      <c r="E216" s="2"/>
      <c r="F216" s="2"/>
      <c r="G216" s="2"/>
    </row>
    <row r="217" spans="1:7" x14ac:dyDescent="0.2">
      <c r="A217" s="1" t="s">
        <v>407</v>
      </c>
      <c r="B217" s="1">
        <v>43</v>
      </c>
      <c r="C217" s="1">
        <v>43</v>
      </c>
      <c r="D217" s="1">
        <f t="shared" si="3"/>
        <v>1</v>
      </c>
      <c r="E217" s="2"/>
      <c r="F217" s="2"/>
      <c r="G217" s="2"/>
    </row>
    <row r="218" spans="1:7" x14ac:dyDescent="0.2">
      <c r="A218" s="1" t="s">
        <v>408</v>
      </c>
      <c r="B218" s="1">
        <v>49</v>
      </c>
      <c r="C218" s="1">
        <v>49</v>
      </c>
      <c r="D218" s="1">
        <f t="shared" si="3"/>
        <v>1</v>
      </c>
      <c r="E218" s="2"/>
      <c r="F218" s="2"/>
      <c r="G218" s="2"/>
    </row>
    <row r="219" spans="1:7" x14ac:dyDescent="0.2">
      <c r="A219" s="1" t="s">
        <v>409</v>
      </c>
      <c r="B219" s="1">
        <v>46</v>
      </c>
      <c r="C219" s="1">
        <v>49</v>
      </c>
      <c r="D219" s="1">
        <f t="shared" si="3"/>
        <v>0.93877551020408168</v>
      </c>
      <c r="E219" s="2"/>
      <c r="F219" s="2"/>
      <c r="G219" s="2"/>
    </row>
    <row r="220" spans="1:7" x14ac:dyDescent="0.2">
      <c r="A220" s="1" t="s">
        <v>410</v>
      </c>
      <c r="B220" s="1">
        <v>36</v>
      </c>
      <c r="C220" s="1">
        <v>46</v>
      </c>
      <c r="D220" s="1">
        <f t="shared" si="3"/>
        <v>0.78260869565217395</v>
      </c>
      <c r="E220" s="2"/>
      <c r="F220" s="2"/>
      <c r="G220" s="2"/>
    </row>
    <row r="221" spans="1:7" x14ac:dyDescent="0.2">
      <c r="A221" s="1" t="s">
        <v>411</v>
      </c>
      <c r="B221" s="1">
        <v>28</v>
      </c>
      <c r="C221" s="1">
        <v>36</v>
      </c>
      <c r="D221" s="1">
        <f t="shared" si="3"/>
        <v>0.77777777777777779</v>
      </c>
      <c r="E221" s="2"/>
      <c r="F221" s="2"/>
      <c r="G221" s="2"/>
    </row>
    <row r="222" spans="1:7" x14ac:dyDescent="0.2">
      <c r="A222" s="1" t="s">
        <v>412</v>
      </c>
      <c r="B222" s="1">
        <v>49</v>
      </c>
      <c r="C222" s="1">
        <v>28</v>
      </c>
      <c r="D222" s="1">
        <f t="shared" si="3"/>
        <v>1.75</v>
      </c>
      <c r="E222" s="2"/>
      <c r="F222" s="2"/>
      <c r="G222" s="2"/>
    </row>
    <row r="223" spans="1:7" x14ac:dyDescent="0.2">
      <c r="A223" s="1" t="s">
        <v>413</v>
      </c>
      <c r="B223" s="1">
        <v>49</v>
      </c>
      <c r="C223" s="1">
        <v>49</v>
      </c>
      <c r="D223" s="1">
        <f t="shared" si="3"/>
        <v>1</v>
      </c>
      <c r="E223" s="2"/>
      <c r="F223" s="2"/>
      <c r="G223" s="2"/>
    </row>
    <row r="224" spans="1:7" x14ac:dyDescent="0.2">
      <c r="A224" s="1" t="s">
        <v>414</v>
      </c>
      <c r="B224" s="1">
        <v>49</v>
      </c>
      <c r="C224" s="1">
        <v>49</v>
      </c>
      <c r="D224" s="1">
        <f t="shared" si="3"/>
        <v>1</v>
      </c>
      <c r="E224" s="2"/>
      <c r="F224" s="2"/>
      <c r="G224" s="2"/>
    </row>
    <row r="225" spans="1:7" x14ac:dyDescent="0.2">
      <c r="A225" s="1" t="s">
        <v>415</v>
      </c>
      <c r="B225" s="1">
        <v>49</v>
      </c>
      <c r="C225" s="1">
        <v>49</v>
      </c>
      <c r="D225" s="1">
        <f t="shared" si="3"/>
        <v>1</v>
      </c>
      <c r="E225" s="2"/>
      <c r="F225" s="2"/>
      <c r="G225" s="2"/>
    </row>
    <row r="226" spans="1:7" x14ac:dyDescent="0.2">
      <c r="A226" s="1" t="s">
        <v>416</v>
      </c>
      <c r="B226" s="1">
        <v>49</v>
      </c>
      <c r="C226" s="1">
        <v>49</v>
      </c>
      <c r="D226" s="1">
        <f t="shared" si="3"/>
        <v>1</v>
      </c>
      <c r="E226" s="2"/>
      <c r="F226" s="2"/>
      <c r="G226" s="2"/>
    </row>
    <row r="227" spans="1:7" x14ac:dyDescent="0.2">
      <c r="A227" s="1" t="s">
        <v>417</v>
      </c>
      <c r="B227" s="1">
        <v>49</v>
      </c>
      <c r="C227" s="1">
        <v>49</v>
      </c>
      <c r="D227" s="1">
        <f t="shared" si="3"/>
        <v>1</v>
      </c>
      <c r="E227" s="2"/>
      <c r="F227" s="2"/>
      <c r="G227" s="2"/>
    </row>
    <row r="228" spans="1:7" x14ac:dyDescent="0.2">
      <c r="A228" s="1" t="s">
        <v>418</v>
      </c>
      <c r="B228" s="1">
        <v>49</v>
      </c>
      <c r="C228" s="1">
        <v>49</v>
      </c>
      <c r="D228" s="1">
        <f t="shared" si="3"/>
        <v>1</v>
      </c>
      <c r="E228" s="2"/>
      <c r="F228" s="2"/>
      <c r="G228" s="2"/>
    </row>
    <row r="229" spans="1:7" x14ac:dyDescent="0.2">
      <c r="A229" s="1" t="s">
        <v>419</v>
      </c>
      <c r="B229" s="1">
        <v>47</v>
      </c>
      <c r="C229" s="1">
        <v>49</v>
      </c>
      <c r="D229" s="1">
        <f t="shared" si="3"/>
        <v>0.95918367346938771</v>
      </c>
      <c r="E229" s="2"/>
      <c r="F229" s="2"/>
      <c r="G229" s="2"/>
    </row>
    <row r="230" spans="1:7" x14ac:dyDescent="0.2">
      <c r="A230" s="1" t="s">
        <v>420</v>
      </c>
      <c r="B230" s="1">
        <v>44</v>
      </c>
      <c r="C230" s="1">
        <v>47</v>
      </c>
      <c r="D230" s="1">
        <f t="shared" si="3"/>
        <v>0.93617021276595747</v>
      </c>
      <c r="E230" s="2"/>
      <c r="F230" s="2"/>
      <c r="G230" s="2"/>
    </row>
    <row r="231" spans="1:7" x14ac:dyDescent="0.2">
      <c r="A231" s="1" t="s">
        <v>421</v>
      </c>
      <c r="B231" s="1">
        <v>49</v>
      </c>
      <c r="C231" s="1">
        <v>44</v>
      </c>
      <c r="D231" s="1">
        <f t="shared" si="3"/>
        <v>1.1136363636363635</v>
      </c>
      <c r="E231" s="2"/>
      <c r="F231" s="2"/>
      <c r="G231" s="2"/>
    </row>
    <row r="232" spans="1:7" x14ac:dyDescent="0.2">
      <c r="A232" s="1" t="s">
        <v>422</v>
      </c>
      <c r="B232" s="1">
        <v>31</v>
      </c>
      <c r="C232" s="1">
        <v>49</v>
      </c>
      <c r="D232" s="1">
        <f t="shared" si="3"/>
        <v>0.63265306122448983</v>
      </c>
      <c r="E232" s="2"/>
      <c r="F232" s="2"/>
      <c r="G232" s="2"/>
    </row>
    <row r="233" spans="1:7" x14ac:dyDescent="0.2">
      <c r="A233" s="1" t="s">
        <v>423</v>
      </c>
      <c r="B233" s="1">
        <v>12</v>
      </c>
      <c r="C233" s="1">
        <v>31</v>
      </c>
      <c r="D233" s="1">
        <f t="shared" si="3"/>
        <v>0.38709677419354838</v>
      </c>
      <c r="E233" s="2"/>
      <c r="F233" s="2"/>
      <c r="G233" s="2"/>
    </row>
    <row r="234" spans="1:7" x14ac:dyDescent="0.2">
      <c r="A234" s="1" t="s">
        <v>424</v>
      </c>
      <c r="B234" s="1">
        <v>45</v>
      </c>
      <c r="C234" s="1">
        <v>45</v>
      </c>
      <c r="D234" s="1">
        <f t="shared" si="3"/>
        <v>1</v>
      </c>
      <c r="E234" s="2"/>
      <c r="F234" s="2"/>
      <c r="G234" s="2"/>
    </row>
    <row r="235" spans="1:7" x14ac:dyDescent="0.2">
      <c r="A235" s="1" t="s">
        <v>425</v>
      </c>
      <c r="B235" s="1">
        <v>45</v>
      </c>
      <c r="C235" s="1">
        <v>45</v>
      </c>
      <c r="D235" s="1">
        <f t="shared" si="3"/>
        <v>1</v>
      </c>
      <c r="E235" s="2"/>
      <c r="F235" s="2"/>
      <c r="G235" s="2"/>
    </row>
    <row r="236" spans="1:7" x14ac:dyDescent="0.2">
      <c r="A236" s="1" t="s">
        <v>426</v>
      </c>
      <c r="B236" s="1">
        <v>49</v>
      </c>
      <c r="C236" s="1">
        <v>45</v>
      </c>
      <c r="D236" s="1">
        <f t="shared" si="3"/>
        <v>1.0888888888888888</v>
      </c>
      <c r="E236" s="2"/>
      <c r="F236" s="2"/>
      <c r="G236" s="2"/>
    </row>
    <row r="237" spans="1:7" x14ac:dyDescent="0.2">
      <c r="A237" s="1" t="s">
        <v>427</v>
      </c>
      <c r="B237" s="1">
        <v>49</v>
      </c>
      <c r="C237" s="1">
        <v>49</v>
      </c>
      <c r="D237" s="1">
        <f t="shared" si="3"/>
        <v>1</v>
      </c>
      <c r="E237" s="2"/>
      <c r="F237" s="2"/>
      <c r="G23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B1EAD-C903-9745-B8E4-1E10C291F3C6}">
  <dimension ref="A1:Z1000"/>
  <sheetViews>
    <sheetView workbookViewId="0">
      <selection activeCell="H60" sqref="H60"/>
    </sheetView>
  </sheetViews>
  <sheetFormatPr baseColWidth="10" defaultRowHeight="16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6" x14ac:dyDescent="0.2">
      <c r="A2" s="1" t="s">
        <v>3</v>
      </c>
      <c r="B2" s="1" t="s">
        <v>4</v>
      </c>
      <c r="C2" s="1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1" t="s">
        <v>5</v>
      </c>
      <c r="B3" s="1" t="s">
        <v>4</v>
      </c>
      <c r="C3" s="1">
        <v>1</v>
      </c>
      <c r="D3" s="2"/>
      <c r="E3" s="1" t="s">
        <v>6</v>
      </c>
      <c r="F3" s="1">
        <f>AVERAGE(C2:C58)</f>
        <v>0.69298245614035092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1" t="s">
        <v>7</v>
      </c>
      <c r="B4" s="1" t="s">
        <v>8</v>
      </c>
      <c r="C4" s="1">
        <v>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1" t="s">
        <v>9</v>
      </c>
      <c r="B5" s="1" t="s">
        <v>10</v>
      </c>
      <c r="C5" s="1">
        <v>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1" t="s">
        <v>11</v>
      </c>
      <c r="B6" s="1" t="s">
        <v>12</v>
      </c>
      <c r="C6" s="1">
        <v>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1" t="s">
        <v>13</v>
      </c>
      <c r="B7" s="1" t="s">
        <v>14</v>
      </c>
      <c r="C7" s="1">
        <v>0.5</v>
      </c>
      <c r="D7" s="2"/>
      <c r="E7" s="2"/>
      <c r="F7" s="3" t="s">
        <v>15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1" t="s">
        <v>16</v>
      </c>
      <c r="B8" s="1" t="s">
        <v>10</v>
      </c>
      <c r="C8" s="1">
        <v>1</v>
      </c>
      <c r="D8" s="2"/>
      <c r="E8" s="2"/>
      <c r="F8" s="1" t="s">
        <v>17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1" t="s">
        <v>18</v>
      </c>
      <c r="B9" s="1" t="s">
        <v>12</v>
      </c>
      <c r="C9" s="1">
        <v>1</v>
      </c>
      <c r="D9" s="2"/>
      <c r="E9" s="2"/>
      <c r="F9" s="1" t="s">
        <v>19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1" t="s">
        <v>20</v>
      </c>
      <c r="B10" s="1" t="s">
        <v>10</v>
      </c>
      <c r="C10" s="1">
        <v>1</v>
      </c>
      <c r="D10" s="2"/>
      <c r="E10" s="2"/>
      <c r="F10" s="1" t="s">
        <v>21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1" t="s">
        <v>22</v>
      </c>
      <c r="B11" s="1" t="s">
        <v>23</v>
      </c>
      <c r="C11" s="1">
        <v>1</v>
      </c>
      <c r="D11" s="2"/>
      <c r="E11" s="2"/>
      <c r="F11" s="1" t="s">
        <v>24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1" t="s">
        <v>25</v>
      </c>
      <c r="B12" s="1" t="s">
        <v>14</v>
      </c>
      <c r="C12" s="1">
        <v>0.5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1" t="s">
        <v>26</v>
      </c>
      <c r="B13" s="1" t="s">
        <v>10</v>
      </c>
      <c r="C13" s="1">
        <v>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1" t="s">
        <v>27</v>
      </c>
      <c r="B14" s="1" t="s">
        <v>23</v>
      </c>
      <c r="C14" s="1">
        <v>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1" t="s">
        <v>28</v>
      </c>
      <c r="B15" s="1" t="s">
        <v>14</v>
      </c>
      <c r="C15" s="1">
        <v>0.5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1" t="s">
        <v>29</v>
      </c>
      <c r="B16" s="1" t="s">
        <v>23</v>
      </c>
      <c r="C16" s="1">
        <v>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1" t="s">
        <v>30</v>
      </c>
      <c r="B17" s="1" t="s">
        <v>10</v>
      </c>
      <c r="C17" s="1">
        <v>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1" t="s">
        <v>31</v>
      </c>
      <c r="B18" s="1" t="s">
        <v>14</v>
      </c>
      <c r="C18" s="1">
        <v>0.5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1" t="s">
        <v>32</v>
      </c>
      <c r="B19" s="1" t="s">
        <v>23</v>
      </c>
      <c r="C19" s="1">
        <v>1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1" t="s">
        <v>33</v>
      </c>
      <c r="B20" s="1" t="s">
        <v>34</v>
      </c>
      <c r="C20" s="1">
        <v>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1" t="s">
        <v>35</v>
      </c>
      <c r="B21" s="1" t="s">
        <v>10</v>
      </c>
      <c r="C21" s="1">
        <v>1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1" t="s">
        <v>36</v>
      </c>
      <c r="B22" s="1" t="s">
        <v>37</v>
      </c>
      <c r="C22" s="1">
        <v>0.5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1" t="s">
        <v>38</v>
      </c>
      <c r="B23" s="1" t="s">
        <v>14</v>
      </c>
      <c r="C23" s="1">
        <v>0.5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1" t="s">
        <v>39</v>
      </c>
      <c r="B24" s="1" t="s">
        <v>10</v>
      </c>
      <c r="C24" s="1">
        <v>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1" t="s">
        <v>40</v>
      </c>
      <c r="B25" s="1" t="s">
        <v>23</v>
      </c>
      <c r="C25" s="1">
        <v>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1" t="s">
        <v>41</v>
      </c>
      <c r="B26" s="1" t="s">
        <v>14</v>
      </c>
      <c r="C26" s="1">
        <v>0.5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1" t="s">
        <v>42</v>
      </c>
      <c r="B27" s="1" t="s">
        <v>23</v>
      </c>
      <c r="C27" s="1">
        <v>1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1" t="s">
        <v>43</v>
      </c>
      <c r="B28" s="1" t="s">
        <v>14</v>
      </c>
      <c r="C28" s="1">
        <v>0.5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1" t="s">
        <v>44</v>
      </c>
      <c r="B29" s="1" t="s">
        <v>23</v>
      </c>
      <c r="C29" s="1">
        <v>1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1" t="s">
        <v>45</v>
      </c>
      <c r="B30" s="1" t="s">
        <v>14</v>
      </c>
      <c r="C30" s="1">
        <v>0.5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1" t="s">
        <v>46</v>
      </c>
      <c r="B31" s="1" t="s">
        <v>23</v>
      </c>
      <c r="C31" s="1">
        <v>1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1" t="s">
        <v>47</v>
      </c>
      <c r="B32" s="1" t="s">
        <v>14</v>
      </c>
      <c r="C32" s="1">
        <v>0.5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1" t="s">
        <v>48</v>
      </c>
      <c r="B33" s="1" t="s">
        <v>37</v>
      </c>
      <c r="C33" s="1">
        <v>0.5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1" t="s">
        <v>49</v>
      </c>
      <c r="B34" s="1" t="s">
        <v>14</v>
      </c>
      <c r="C34" s="1">
        <v>0.5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1" t="s">
        <v>50</v>
      </c>
      <c r="B35" s="1" t="s">
        <v>10</v>
      </c>
      <c r="C35" s="1">
        <v>1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1" t="s">
        <v>51</v>
      </c>
      <c r="B36" s="1" t="s">
        <v>23</v>
      </c>
      <c r="C36" s="1">
        <v>1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1" t="s">
        <v>52</v>
      </c>
      <c r="B37" s="1" t="s">
        <v>14</v>
      </c>
      <c r="C37" s="1">
        <v>0.5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1" t="s">
        <v>53</v>
      </c>
      <c r="B38" s="1" t="s">
        <v>23</v>
      </c>
      <c r="C38" s="1">
        <v>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1" t="s">
        <v>54</v>
      </c>
      <c r="B39" s="1" t="s">
        <v>14</v>
      </c>
      <c r="C39" s="1">
        <v>0.5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1" t="s">
        <v>55</v>
      </c>
      <c r="B40" s="1" t="s">
        <v>23</v>
      </c>
      <c r="C40" s="1">
        <v>1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1" t="s">
        <v>56</v>
      </c>
      <c r="B41" s="1" t="s">
        <v>14</v>
      </c>
      <c r="C41" s="1">
        <v>0.5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1" t="s">
        <v>57</v>
      </c>
      <c r="B42" s="1" t="s">
        <v>4</v>
      </c>
      <c r="C42" s="1">
        <v>0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1" t="s">
        <v>58</v>
      </c>
      <c r="B43" s="1" t="s">
        <v>14</v>
      </c>
      <c r="C43" s="1">
        <v>0.5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1" t="s">
        <v>59</v>
      </c>
      <c r="B44" s="1" t="s">
        <v>10</v>
      </c>
      <c r="C44" s="1">
        <v>1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1" t="s">
        <v>60</v>
      </c>
      <c r="B45" s="1" t="s">
        <v>4</v>
      </c>
      <c r="C45" s="1">
        <v>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1" t="s">
        <v>61</v>
      </c>
      <c r="B46" s="1" t="s">
        <v>14</v>
      </c>
      <c r="C46" s="1">
        <v>0.5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1" t="s">
        <v>62</v>
      </c>
      <c r="B47" s="1" t="s">
        <v>10</v>
      </c>
      <c r="C47" s="1">
        <v>1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1" t="s">
        <v>63</v>
      </c>
      <c r="B48" s="1" t="s">
        <v>4</v>
      </c>
      <c r="C48" s="1">
        <v>0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1" t="s">
        <v>64</v>
      </c>
      <c r="B49" s="1" t="s">
        <v>14</v>
      </c>
      <c r="C49" s="1">
        <v>0.5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1" t="s">
        <v>65</v>
      </c>
      <c r="B50" s="1" t="s">
        <v>10</v>
      </c>
      <c r="C50" s="1">
        <v>1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1" t="s">
        <v>66</v>
      </c>
      <c r="B51" s="1" t="s">
        <v>23</v>
      </c>
      <c r="C51" s="1">
        <v>0.5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1" t="s">
        <v>67</v>
      </c>
      <c r="B52" s="1" t="s">
        <v>23</v>
      </c>
      <c r="C52" s="1">
        <v>0.5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1" t="s">
        <v>68</v>
      </c>
      <c r="B53" s="1" t="s">
        <v>23</v>
      </c>
      <c r="C53" s="1">
        <v>0.5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1" t="s">
        <v>69</v>
      </c>
      <c r="B54" s="1" t="s">
        <v>37</v>
      </c>
      <c r="C54" s="1">
        <v>1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1" t="s">
        <v>70</v>
      </c>
      <c r="B55" s="1" t="s">
        <v>23</v>
      </c>
      <c r="C55" s="1">
        <v>0.5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1" t="s">
        <v>71</v>
      </c>
      <c r="B56" s="1" t="s">
        <v>23</v>
      </c>
      <c r="C56" s="1">
        <v>0.5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1" t="s">
        <v>72</v>
      </c>
      <c r="B57" s="1" t="s">
        <v>23</v>
      </c>
      <c r="C57" s="1">
        <v>0.5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1" t="s">
        <v>73</v>
      </c>
      <c r="B58" s="1" t="s">
        <v>23</v>
      </c>
      <c r="C58" s="1">
        <v>0.5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4788B-80BD-2F4E-A269-BE0EE038A5EB}">
  <dimension ref="A1:AV33"/>
  <sheetViews>
    <sheetView topLeftCell="A7" workbookViewId="0">
      <selection activeCell="C15" sqref="C15"/>
    </sheetView>
  </sheetViews>
  <sheetFormatPr baseColWidth="10" defaultRowHeight="16" x14ac:dyDescent="0.2"/>
  <sheetData>
    <row r="1" spans="1:48" x14ac:dyDescent="0.2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  <c r="V1" s="1" t="s">
        <v>95</v>
      </c>
      <c r="W1" s="1" t="s">
        <v>96</v>
      </c>
      <c r="X1" s="1" t="s">
        <v>97</v>
      </c>
      <c r="Y1" s="1" t="s">
        <v>98</v>
      </c>
      <c r="Z1" s="1" t="s">
        <v>99</v>
      </c>
      <c r="AA1" s="1" t="s">
        <v>100</v>
      </c>
      <c r="AB1" s="1" t="s">
        <v>101</v>
      </c>
      <c r="AC1" s="1" t="s">
        <v>102</v>
      </c>
      <c r="AD1" s="1" t="s">
        <v>103</v>
      </c>
      <c r="AE1" s="1" t="s">
        <v>104</v>
      </c>
      <c r="AF1" s="1" t="s">
        <v>105</v>
      </c>
      <c r="AG1" s="1" t="s">
        <v>106</v>
      </c>
      <c r="AH1" s="1" t="s">
        <v>107</v>
      </c>
      <c r="AI1" s="1" t="s">
        <v>108</v>
      </c>
      <c r="AJ1" s="1" t="s">
        <v>109</v>
      </c>
      <c r="AK1" s="1" t="s">
        <v>110</v>
      </c>
      <c r="AL1" s="1" t="s">
        <v>111</v>
      </c>
      <c r="AM1" s="1" t="s">
        <v>112</v>
      </c>
      <c r="AN1" s="1" t="s">
        <v>113</v>
      </c>
      <c r="AO1" s="1" t="s">
        <v>114</v>
      </c>
      <c r="AP1" s="1" t="s">
        <v>115</v>
      </c>
      <c r="AQ1" s="1" t="s">
        <v>116</v>
      </c>
      <c r="AR1" s="1" t="s">
        <v>117</v>
      </c>
      <c r="AS1" s="1" t="s">
        <v>118</v>
      </c>
      <c r="AT1" s="1" t="s">
        <v>119</v>
      </c>
      <c r="AU1" s="1" t="s">
        <v>120</v>
      </c>
      <c r="AV1" s="1" t="s">
        <v>121</v>
      </c>
    </row>
    <row r="2" spans="1:48" x14ac:dyDescent="0.2">
      <c r="A2" s="1">
        <v>2014</v>
      </c>
      <c r="B2" s="1">
        <v>2</v>
      </c>
      <c r="C2" s="1">
        <v>0.84</v>
      </c>
      <c r="D2" s="2"/>
      <c r="E2" s="2"/>
      <c r="F2" s="1">
        <v>0</v>
      </c>
      <c r="G2" s="1">
        <v>2014</v>
      </c>
      <c r="H2" s="1">
        <v>5</v>
      </c>
      <c r="I2" s="1">
        <v>2.11</v>
      </c>
      <c r="J2" s="1">
        <v>2014</v>
      </c>
      <c r="K2" s="1">
        <v>1</v>
      </c>
      <c r="L2" s="1">
        <v>0.42</v>
      </c>
      <c r="M2" s="1">
        <v>2014</v>
      </c>
      <c r="N2" s="1">
        <v>2</v>
      </c>
      <c r="O2" s="1">
        <v>0.84</v>
      </c>
      <c r="P2" s="1">
        <v>2014</v>
      </c>
      <c r="Q2" s="1">
        <v>1</v>
      </c>
      <c r="R2" s="1">
        <v>0.42</v>
      </c>
      <c r="S2" s="1">
        <v>2014</v>
      </c>
      <c r="T2" s="1">
        <v>1</v>
      </c>
      <c r="U2" s="1">
        <v>0</v>
      </c>
      <c r="V2" s="1">
        <v>2014</v>
      </c>
      <c r="W2" s="1">
        <v>1</v>
      </c>
      <c r="X2" s="1">
        <v>0.42</v>
      </c>
      <c r="Y2" s="1">
        <v>2014</v>
      </c>
      <c r="Z2" s="1">
        <v>1</v>
      </c>
      <c r="AA2" s="1">
        <v>0.42</v>
      </c>
      <c r="AB2" s="2"/>
      <c r="AC2" s="2"/>
      <c r="AD2" s="1">
        <v>0</v>
      </c>
      <c r="AE2" s="2"/>
      <c r="AF2" s="2"/>
      <c r="AG2" s="1">
        <v>0</v>
      </c>
      <c r="AH2" s="2"/>
      <c r="AI2" s="2"/>
      <c r="AJ2" s="1">
        <v>0</v>
      </c>
      <c r="AK2" s="2"/>
      <c r="AL2" s="2"/>
      <c r="AM2" s="1">
        <v>0</v>
      </c>
      <c r="AN2" s="2"/>
      <c r="AO2" s="2"/>
      <c r="AP2" s="1">
        <v>0</v>
      </c>
      <c r="AQ2" s="2"/>
      <c r="AR2" s="2"/>
      <c r="AS2" s="1">
        <v>0</v>
      </c>
      <c r="AT2" s="2"/>
      <c r="AU2" s="2"/>
      <c r="AV2" s="1">
        <v>0</v>
      </c>
    </row>
    <row r="3" spans="1:48" x14ac:dyDescent="0.2">
      <c r="A3" s="1">
        <v>2015</v>
      </c>
      <c r="B3" s="1">
        <v>6</v>
      </c>
      <c r="C3" s="1">
        <v>2.5299999999999998</v>
      </c>
      <c r="D3" s="1">
        <v>2015</v>
      </c>
      <c r="E3" s="1">
        <v>2</v>
      </c>
      <c r="F3" s="1">
        <v>0.84</v>
      </c>
      <c r="G3" s="2"/>
      <c r="H3" s="2"/>
      <c r="I3" s="1">
        <v>0</v>
      </c>
      <c r="J3" s="1">
        <v>2015</v>
      </c>
      <c r="K3" s="1">
        <v>5</v>
      </c>
      <c r="L3" s="1">
        <v>2.11</v>
      </c>
      <c r="M3" s="1">
        <v>2015</v>
      </c>
      <c r="N3" s="1">
        <v>4</v>
      </c>
      <c r="O3" s="1">
        <v>1.69</v>
      </c>
      <c r="P3" s="1">
        <v>2015</v>
      </c>
      <c r="Q3" s="1">
        <v>6</v>
      </c>
      <c r="R3" s="1">
        <v>2.5299999999999998</v>
      </c>
      <c r="S3" s="1">
        <v>2015</v>
      </c>
      <c r="T3" s="1">
        <v>3</v>
      </c>
      <c r="U3" s="1">
        <v>1.27</v>
      </c>
      <c r="V3" s="1">
        <v>2015</v>
      </c>
      <c r="W3" s="1">
        <v>3</v>
      </c>
      <c r="X3" s="1">
        <v>1.27</v>
      </c>
      <c r="Y3" s="1">
        <v>2015</v>
      </c>
      <c r="Z3" s="1">
        <v>2</v>
      </c>
      <c r="AA3" s="1">
        <v>0.84</v>
      </c>
      <c r="AB3" s="2"/>
      <c r="AC3" s="2"/>
      <c r="AD3" s="1">
        <v>0</v>
      </c>
      <c r="AE3" s="1">
        <v>2015</v>
      </c>
      <c r="AF3" s="1">
        <v>1</v>
      </c>
      <c r="AG3" s="1">
        <v>0.42</v>
      </c>
      <c r="AH3" s="2"/>
      <c r="AI3" s="2"/>
      <c r="AJ3" s="1">
        <v>0</v>
      </c>
      <c r="AK3" s="2"/>
      <c r="AL3" s="2"/>
      <c r="AM3" s="1">
        <v>0</v>
      </c>
      <c r="AN3" s="2"/>
      <c r="AO3" s="2"/>
      <c r="AP3" s="1">
        <v>0</v>
      </c>
      <c r="AQ3" s="2"/>
      <c r="AR3" s="2"/>
      <c r="AS3" s="1">
        <v>0</v>
      </c>
      <c r="AT3" s="2"/>
      <c r="AU3" s="2"/>
      <c r="AV3" s="1">
        <v>0</v>
      </c>
    </row>
    <row r="4" spans="1:48" x14ac:dyDescent="0.2">
      <c r="A4" s="1">
        <v>2016</v>
      </c>
      <c r="B4" s="1">
        <v>4</v>
      </c>
      <c r="C4" s="1">
        <v>1.69</v>
      </c>
      <c r="D4" s="2"/>
      <c r="E4" s="2"/>
      <c r="F4" s="1">
        <v>0</v>
      </c>
      <c r="G4" s="2"/>
      <c r="H4" s="2"/>
      <c r="I4" s="1">
        <v>0</v>
      </c>
      <c r="J4" s="1">
        <v>2016</v>
      </c>
      <c r="K4" s="1">
        <v>4</v>
      </c>
      <c r="L4" s="1">
        <v>1.69</v>
      </c>
      <c r="M4" s="1">
        <v>2016</v>
      </c>
      <c r="N4" s="1">
        <v>5</v>
      </c>
      <c r="O4" s="1">
        <v>2.11</v>
      </c>
      <c r="P4" s="1">
        <v>2016</v>
      </c>
      <c r="Q4" s="1">
        <v>4</v>
      </c>
      <c r="R4" s="1">
        <v>1.69</v>
      </c>
      <c r="S4" s="1">
        <v>2016</v>
      </c>
      <c r="T4" s="1">
        <v>3</v>
      </c>
      <c r="U4" s="1">
        <v>1.27</v>
      </c>
      <c r="V4" s="1">
        <v>2016</v>
      </c>
      <c r="W4" s="1">
        <v>3</v>
      </c>
      <c r="X4" s="1">
        <v>1.27</v>
      </c>
      <c r="Y4" s="1">
        <v>2016</v>
      </c>
      <c r="Z4" s="1">
        <v>3</v>
      </c>
      <c r="AA4" s="1">
        <v>1.27</v>
      </c>
      <c r="AB4" s="2"/>
      <c r="AC4" s="2"/>
      <c r="AD4" s="1">
        <v>0</v>
      </c>
      <c r="AE4" s="1">
        <v>2016</v>
      </c>
      <c r="AF4" s="1">
        <v>5</v>
      </c>
      <c r="AG4" s="1">
        <v>2.11</v>
      </c>
      <c r="AH4" s="2"/>
      <c r="AI4" s="2"/>
      <c r="AJ4" s="1">
        <v>0</v>
      </c>
      <c r="AK4" s="2"/>
      <c r="AL4" s="2"/>
      <c r="AM4" s="1">
        <v>0</v>
      </c>
      <c r="AN4" s="2"/>
      <c r="AO4" s="2"/>
      <c r="AP4" s="1">
        <v>0</v>
      </c>
      <c r="AQ4" s="2"/>
      <c r="AR4" s="2"/>
      <c r="AS4" s="1">
        <v>0</v>
      </c>
      <c r="AT4" s="2"/>
      <c r="AU4" s="2"/>
      <c r="AV4" s="1">
        <v>0</v>
      </c>
    </row>
    <row r="5" spans="1:48" x14ac:dyDescent="0.2">
      <c r="A5" s="1">
        <v>2017</v>
      </c>
      <c r="B5" s="1">
        <v>6</v>
      </c>
      <c r="C5" s="1">
        <v>2.5299999999999998</v>
      </c>
      <c r="D5" s="1">
        <v>2017</v>
      </c>
      <c r="E5" s="1">
        <v>3</v>
      </c>
      <c r="F5" s="1">
        <v>1.27</v>
      </c>
      <c r="G5" s="2"/>
      <c r="H5" s="2"/>
      <c r="I5" s="1">
        <v>0</v>
      </c>
      <c r="J5" s="1">
        <v>2017</v>
      </c>
      <c r="K5" s="1">
        <v>23</v>
      </c>
      <c r="L5" s="1">
        <v>9.6999999999999993</v>
      </c>
      <c r="M5" s="1">
        <v>2017</v>
      </c>
      <c r="N5" s="1">
        <v>3</v>
      </c>
      <c r="O5" s="1">
        <v>1.27</v>
      </c>
      <c r="P5" s="1">
        <v>2017</v>
      </c>
      <c r="Q5" s="1">
        <v>8</v>
      </c>
      <c r="R5" s="1">
        <v>3.38</v>
      </c>
      <c r="S5" s="1">
        <v>2017</v>
      </c>
      <c r="T5" s="1">
        <v>6</v>
      </c>
      <c r="U5" s="1">
        <v>2.5299999999999998</v>
      </c>
      <c r="V5" s="1">
        <v>2017</v>
      </c>
      <c r="W5" s="1">
        <v>6</v>
      </c>
      <c r="X5" s="1">
        <v>2.5299999999999998</v>
      </c>
      <c r="Y5" s="1">
        <v>2017</v>
      </c>
      <c r="Z5" s="1">
        <v>6</v>
      </c>
      <c r="AA5" s="1">
        <v>2.5299999999999998</v>
      </c>
      <c r="AB5" s="2"/>
      <c r="AC5" s="2"/>
      <c r="AD5" s="1">
        <v>0</v>
      </c>
      <c r="AE5" s="1">
        <v>2017</v>
      </c>
      <c r="AF5" s="1">
        <v>1</v>
      </c>
      <c r="AG5" s="1">
        <v>0.42</v>
      </c>
      <c r="AH5" s="2"/>
      <c r="AI5" s="2"/>
      <c r="AJ5" s="1">
        <v>0</v>
      </c>
      <c r="AK5" s="1">
        <v>2017</v>
      </c>
      <c r="AL5" s="1">
        <v>1</v>
      </c>
      <c r="AM5" s="1">
        <v>0.42</v>
      </c>
      <c r="AN5" s="1">
        <v>2017</v>
      </c>
      <c r="AO5" s="1">
        <v>1</v>
      </c>
      <c r="AP5" s="1">
        <v>0.42</v>
      </c>
      <c r="AQ5" s="2"/>
      <c r="AR5" s="2"/>
      <c r="AS5" s="1">
        <v>0</v>
      </c>
      <c r="AT5" s="2"/>
      <c r="AU5" s="2"/>
      <c r="AV5" s="1">
        <v>0</v>
      </c>
    </row>
    <row r="6" spans="1:48" x14ac:dyDescent="0.2">
      <c r="A6" s="1">
        <v>2018</v>
      </c>
      <c r="B6" s="1">
        <v>1</v>
      </c>
      <c r="C6" s="1">
        <v>0.42</v>
      </c>
      <c r="D6" s="1">
        <v>2018</v>
      </c>
      <c r="E6" s="1">
        <v>2</v>
      </c>
      <c r="F6" s="1">
        <v>0.84</v>
      </c>
      <c r="G6" s="2"/>
      <c r="H6" s="2"/>
      <c r="I6" s="1">
        <v>0</v>
      </c>
      <c r="J6" s="1">
        <v>2018</v>
      </c>
      <c r="K6" s="1">
        <v>1</v>
      </c>
      <c r="L6" s="1">
        <v>0.42</v>
      </c>
      <c r="M6" s="1">
        <v>2018</v>
      </c>
      <c r="N6" s="1">
        <v>1</v>
      </c>
      <c r="O6" s="1">
        <v>0.42</v>
      </c>
      <c r="P6" s="2"/>
      <c r="Q6" s="2"/>
      <c r="R6" s="1">
        <v>0</v>
      </c>
      <c r="S6" s="1">
        <v>2018</v>
      </c>
      <c r="T6" s="1">
        <v>2</v>
      </c>
      <c r="U6" s="1">
        <v>0.84</v>
      </c>
      <c r="V6" s="1">
        <v>2018</v>
      </c>
      <c r="W6" s="1">
        <v>2</v>
      </c>
      <c r="X6" s="1">
        <v>0.84</v>
      </c>
      <c r="Y6" s="1">
        <v>2018</v>
      </c>
      <c r="Z6" s="1">
        <v>2</v>
      </c>
      <c r="AA6" s="1">
        <v>0.84</v>
      </c>
      <c r="AB6" s="2"/>
      <c r="AC6" s="2"/>
      <c r="AD6" s="1">
        <v>0</v>
      </c>
      <c r="AE6" s="1">
        <v>2018</v>
      </c>
      <c r="AF6" s="1">
        <v>10</v>
      </c>
      <c r="AG6" s="1">
        <v>4.22</v>
      </c>
      <c r="AH6" s="2"/>
      <c r="AI6" s="2"/>
      <c r="AJ6" s="1">
        <v>0</v>
      </c>
      <c r="AK6" s="1">
        <v>2018</v>
      </c>
      <c r="AL6" s="1">
        <v>185</v>
      </c>
      <c r="AM6" s="1">
        <v>78.06</v>
      </c>
      <c r="AN6" s="2"/>
      <c r="AO6" s="2"/>
      <c r="AP6" s="1">
        <v>0</v>
      </c>
      <c r="AQ6" s="2"/>
      <c r="AR6" s="2"/>
      <c r="AS6" s="1">
        <v>0</v>
      </c>
      <c r="AT6" s="2"/>
      <c r="AU6" s="2"/>
      <c r="AV6" s="1">
        <v>0</v>
      </c>
    </row>
    <row r="7" spans="1:48" x14ac:dyDescent="0.2">
      <c r="A7" s="1">
        <v>2019</v>
      </c>
      <c r="B7" s="1">
        <v>1</v>
      </c>
      <c r="C7" s="1">
        <v>0.42</v>
      </c>
      <c r="D7" s="1">
        <v>2019</v>
      </c>
      <c r="E7" s="1">
        <v>1</v>
      </c>
      <c r="F7" s="1">
        <v>0.42</v>
      </c>
      <c r="G7" s="1">
        <v>2019</v>
      </c>
      <c r="H7" s="1">
        <v>2</v>
      </c>
      <c r="I7" s="1">
        <v>0.84</v>
      </c>
      <c r="J7" s="1">
        <v>2019</v>
      </c>
      <c r="K7" s="1">
        <v>9</v>
      </c>
      <c r="L7" s="1">
        <v>3.8</v>
      </c>
      <c r="M7" s="1">
        <v>2019</v>
      </c>
      <c r="N7" s="1">
        <v>1</v>
      </c>
      <c r="O7" s="1">
        <v>0.42</v>
      </c>
      <c r="P7" s="1">
        <v>2019</v>
      </c>
      <c r="Q7" s="1">
        <v>1</v>
      </c>
      <c r="R7" s="1">
        <v>0.42</v>
      </c>
      <c r="S7" s="1">
        <v>2019</v>
      </c>
      <c r="T7" s="1">
        <v>3</v>
      </c>
      <c r="U7" s="1">
        <v>1.27</v>
      </c>
      <c r="V7" s="1">
        <v>2019</v>
      </c>
      <c r="W7" s="1">
        <v>3</v>
      </c>
      <c r="X7" s="1">
        <v>1.27</v>
      </c>
      <c r="Y7" s="1">
        <v>2019</v>
      </c>
      <c r="Z7" s="1">
        <v>3</v>
      </c>
      <c r="AA7" s="1">
        <v>1.27</v>
      </c>
      <c r="AB7" s="2"/>
      <c r="AC7" s="2"/>
      <c r="AD7" s="1">
        <v>0</v>
      </c>
      <c r="AE7" s="1">
        <v>2019</v>
      </c>
      <c r="AF7" s="1">
        <v>17</v>
      </c>
      <c r="AG7" s="1">
        <v>7.17</v>
      </c>
      <c r="AH7" s="1">
        <v>2019</v>
      </c>
      <c r="AI7" s="1">
        <v>9</v>
      </c>
      <c r="AJ7" s="1">
        <v>3.8</v>
      </c>
      <c r="AK7" s="2"/>
      <c r="AL7" s="2"/>
      <c r="AM7" s="1">
        <v>0</v>
      </c>
      <c r="AN7" s="1">
        <v>2019</v>
      </c>
      <c r="AO7" s="1">
        <v>1</v>
      </c>
      <c r="AP7" s="1">
        <v>0.42</v>
      </c>
      <c r="AQ7" s="2"/>
      <c r="AR7" s="2"/>
      <c r="AS7" s="1">
        <v>0</v>
      </c>
      <c r="AT7" s="1">
        <v>2019</v>
      </c>
      <c r="AU7" s="1">
        <v>2</v>
      </c>
      <c r="AV7" s="1">
        <v>0.84</v>
      </c>
    </row>
    <row r="8" spans="1:48" x14ac:dyDescent="0.2">
      <c r="A8" s="1">
        <v>2021</v>
      </c>
      <c r="B8" s="1">
        <v>7</v>
      </c>
      <c r="C8" s="1">
        <v>2.95</v>
      </c>
      <c r="D8" s="1">
        <v>2021</v>
      </c>
      <c r="E8" s="1">
        <v>6</v>
      </c>
      <c r="F8" s="1">
        <v>2.5299999999999998</v>
      </c>
      <c r="G8" s="1">
        <v>2021</v>
      </c>
      <c r="H8" s="1">
        <v>2</v>
      </c>
      <c r="I8" s="1">
        <v>0.84</v>
      </c>
      <c r="J8" s="1">
        <v>2021</v>
      </c>
      <c r="K8" s="1">
        <v>3</v>
      </c>
      <c r="L8" s="1">
        <v>1.27</v>
      </c>
      <c r="M8" s="1">
        <v>2021</v>
      </c>
      <c r="N8" s="1">
        <v>1</v>
      </c>
      <c r="O8" s="1">
        <v>0.42</v>
      </c>
      <c r="P8" s="1">
        <v>2021</v>
      </c>
      <c r="Q8" s="1">
        <v>1</v>
      </c>
      <c r="R8" s="1">
        <v>0.42</v>
      </c>
      <c r="S8" s="1">
        <v>2021</v>
      </c>
      <c r="T8" s="1">
        <v>9</v>
      </c>
      <c r="U8" s="1">
        <v>3.8</v>
      </c>
      <c r="V8" s="1">
        <v>2021</v>
      </c>
      <c r="W8" s="1">
        <v>10</v>
      </c>
      <c r="X8" s="1">
        <v>4.22</v>
      </c>
      <c r="Y8" s="1">
        <v>2021</v>
      </c>
      <c r="Z8" s="1">
        <v>10</v>
      </c>
      <c r="AA8" s="1">
        <v>4.22</v>
      </c>
      <c r="AB8" s="1">
        <v>2021</v>
      </c>
      <c r="AC8" s="1">
        <v>219</v>
      </c>
      <c r="AD8" s="1">
        <v>92.41</v>
      </c>
      <c r="AE8" s="1">
        <v>2021</v>
      </c>
      <c r="AF8" s="1">
        <v>40</v>
      </c>
      <c r="AG8" s="1">
        <v>16.88</v>
      </c>
      <c r="AH8" s="1">
        <v>2021</v>
      </c>
      <c r="AI8" s="1">
        <v>4</v>
      </c>
      <c r="AJ8" s="1">
        <v>1.69</v>
      </c>
      <c r="AK8" s="2"/>
      <c r="AL8" s="2"/>
      <c r="AM8" s="1">
        <v>0</v>
      </c>
      <c r="AN8" s="2"/>
      <c r="AO8" s="2"/>
      <c r="AP8" s="1">
        <v>0</v>
      </c>
      <c r="AQ8" s="2"/>
      <c r="AR8" s="2"/>
      <c r="AS8" s="1">
        <v>0</v>
      </c>
      <c r="AT8" s="2"/>
      <c r="AU8" s="2"/>
      <c r="AV8" s="1">
        <v>0</v>
      </c>
    </row>
    <row r="9" spans="1:48" x14ac:dyDescent="0.2">
      <c r="A9" s="1">
        <v>2022</v>
      </c>
      <c r="B9" s="1">
        <v>11</v>
      </c>
      <c r="C9" s="1">
        <v>4.6399999999999997</v>
      </c>
      <c r="D9" s="1">
        <v>2022</v>
      </c>
      <c r="E9" s="1">
        <v>18</v>
      </c>
      <c r="F9" s="1">
        <v>7.59</v>
      </c>
      <c r="G9" s="2"/>
      <c r="H9" s="2"/>
      <c r="I9" s="1">
        <v>0</v>
      </c>
      <c r="J9" s="1">
        <v>2022</v>
      </c>
      <c r="K9" s="1">
        <v>18</v>
      </c>
      <c r="L9" s="1">
        <v>7.59</v>
      </c>
      <c r="M9" s="1">
        <v>2022</v>
      </c>
      <c r="N9" s="1">
        <v>2</v>
      </c>
      <c r="O9" s="1">
        <v>0.84</v>
      </c>
      <c r="P9" s="1">
        <v>2022</v>
      </c>
      <c r="Q9" s="1">
        <v>2</v>
      </c>
      <c r="R9" s="1">
        <v>0.84</v>
      </c>
      <c r="S9" s="1">
        <v>2022</v>
      </c>
      <c r="T9" s="1">
        <v>31</v>
      </c>
      <c r="U9" s="1">
        <v>13.08</v>
      </c>
      <c r="V9" s="1">
        <v>2022</v>
      </c>
      <c r="W9" s="1">
        <v>33</v>
      </c>
      <c r="X9" s="1">
        <v>13.92</v>
      </c>
      <c r="Y9" s="1">
        <v>2022</v>
      </c>
      <c r="Z9" s="1">
        <v>33</v>
      </c>
      <c r="AA9" s="1">
        <v>13.92</v>
      </c>
      <c r="AB9" s="1">
        <v>2022</v>
      </c>
      <c r="AC9" s="1">
        <v>12</v>
      </c>
      <c r="AD9" s="1">
        <v>5.0599999999999996</v>
      </c>
      <c r="AE9" s="2"/>
      <c r="AF9" s="2"/>
      <c r="AG9" s="1">
        <v>0</v>
      </c>
      <c r="AH9" s="1">
        <v>2022</v>
      </c>
      <c r="AI9" s="1">
        <v>4</v>
      </c>
      <c r="AJ9" s="1">
        <v>1.69</v>
      </c>
      <c r="AK9" s="2"/>
      <c r="AL9" s="2"/>
      <c r="AM9" s="1">
        <v>0</v>
      </c>
      <c r="AN9" s="1">
        <v>2022</v>
      </c>
      <c r="AO9" s="1">
        <v>212</v>
      </c>
      <c r="AP9" s="1">
        <v>89.45</v>
      </c>
      <c r="AQ9" s="1">
        <v>2022</v>
      </c>
      <c r="AR9" s="1">
        <v>211</v>
      </c>
      <c r="AS9" s="1">
        <v>89.03</v>
      </c>
      <c r="AT9" s="1">
        <v>2022</v>
      </c>
      <c r="AU9" s="1">
        <v>193</v>
      </c>
      <c r="AV9" s="1">
        <v>81.430000000000007</v>
      </c>
    </row>
    <row r="10" spans="1:48" x14ac:dyDescent="0.2">
      <c r="A10" s="1">
        <v>2023</v>
      </c>
      <c r="B10" s="1">
        <v>186</v>
      </c>
      <c r="C10" s="1">
        <v>78.48</v>
      </c>
      <c r="D10" s="1">
        <v>2023</v>
      </c>
      <c r="E10" s="1">
        <v>187</v>
      </c>
      <c r="F10" s="1">
        <v>78.900000000000006</v>
      </c>
      <c r="G10" s="2"/>
      <c r="H10" s="2"/>
      <c r="I10" s="1">
        <v>0</v>
      </c>
      <c r="J10" s="1">
        <v>2023</v>
      </c>
      <c r="K10" s="1">
        <v>153</v>
      </c>
      <c r="L10" s="1">
        <v>64.56</v>
      </c>
      <c r="M10" s="1">
        <v>2023</v>
      </c>
      <c r="N10" s="1">
        <v>186</v>
      </c>
      <c r="O10" s="1">
        <v>78.48</v>
      </c>
      <c r="P10" s="1">
        <v>2023</v>
      </c>
      <c r="Q10" s="1">
        <v>186</v>
      </c>
      <c r="R10" s="1">
        <v>78.48</v>
      </c>
      <c r="S10" s="1">
        <v>2023</v>
      </c>
      <c r="T10" s="1">
        <v>154</v>
      </c>
      <c r="U10" s="1">
        <v>64.98</v>
      </c>
      <c r="V10" s="1">
        <v>2023</v>
      </c>
      <c r="W10" s="1">
        <v>154</v>
      </c>
      <c r="X10" s="1">
        <v>64.98</v>
      </c>
      <c r="Y10" s="1">
        <v>2023</v>
      </c>
      <c r="Z10" s="1">
        <v>154</v>
      </c>
      <c r="AA10" s="1">
        <v>64.98</v>
      </c>
      <c r="AB10" s="2"/>
      <c r="AC10" s="2"/>
      <c r="AD10" s="1">
        <v>0</v>
      </c>
      <c r="AE10" s="2"/>
      <c r="AF10" s="2"/>
      <c r="AG10" s="1">
        <v>0</v>
      </c>
      <c r="AH10" s="1">
        <v>2023</v>
      </c>
      <c r="AI10" s="1">
        <v>112</v>
      </c>
      <c r="AJ10" s="1">
        <v>47.26</v>
      </c>
      <c r="AK10" s="2"/>
      <c r="AL10" s="2"/>
      <c r="AM10" s="1">
        <v>0</v>
      </c>
      <c r="AN10" s="2"/>
      <c r="AO10" s="2"/>
      <c r="AP10" s="1">
        <v>0</v>
      </c>
      <c r="AQ10" s="2"/>
      <c r="AR10" s="2"/>
      <c r="AS10" s="1">
        <v>0</v>
      </c>
      <c r="AT10" s="2"/>
      <c r="AU10" s="2"/>
      <c r="AV10" s="1">
        <v>0</v>
      </c>
    </row>
    <row r="11" spans="1:48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</row>
    <row r="12" spans="1:48" x14ac:dyDescent="0.2">
      <c r="A12" s="2"/>
      <c r="B12" s="2"/>
      <c r="C12" s="3" t="s">
        <v>122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48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</row>
    <row r="14" spans="1:48" x14ac:dyDescent="0.2">
      <c r="A14" s="2"/>
      <c r="B14" s="1" t="s">
        <v>6</v>
      </c>
      <c r="C14" s="3">
        <v>78.135000000000005</v>
      </c>
      <c r="D14" s="2"/>
      <c r="E14" s="1" t="s">
        <v>123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</row>
    <row r="15" spans="1:48" x14ac:dyDescent="0.2">
      <c r="A15" s="2"/>
      <c r="B15" s="1">
        <v>2014</v>
      </c>
      <c r="C15" s="1">
        <v>0.34187499999999998</v>
      </c>
      <c r="D15" s="2"/>
      <c r="E15" s="1" t="s">
        <v>124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</row>
    <row r="16" spans="1:48" x14ac:dyDescent="0.2">
      <c r="A16" s="2"/>
      <c r="B16" s="1">
        <v>2015</v>
      </c>
      <c r="C16" s="1">
        <v>0.84375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</row>
    <row r="17" spans="1:48" x14ac:dyDescent="0.2">
      <c r="A17" s="2"/>
      <c r="B17" s="1">
        <v>2016</v>
      </c>
      <c r="C17" s="1">
        <v>0.81874999999999998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</row>
    <row r="18" spans="1:48" x14ac:dyDescent="0.2">
      <c r="A18" s="2"/>
      <c r="B18" s="1">
        <v>2017</v>
      </c>
      <c r="C18" s="1">
        <v>1.6875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</row>
    <row r="19" spans="1:48" x14ac:dyDescent="0.2">
      <c r="A19" s="2"/>
      <c r="B19" s="1">
        <v>2018</v>
      </c>
      <c r="C19" s="1">
        <v>5.4312500000000004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</row>
    <row r="20" spans="1:48" x14ac:dyDescent="0.2">
      <c r="A20" s="2"/>
      <c r="B20" s="1">
        <v>2019</v>
      </c>
      <c r="C20" s="1">
        <v>1.3975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</row>
    <row r="21" spans="1:48" x14ac:dyDescent="0.2">
      <c r="A21" s="2"/>
      <c r="B21" s="1">
        <v>2021</v>
      </c>
      <c r="C21" s="1">
        <v>8.2281250000000004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</row>
    <row r="22" spans="1:48" x14ac:dyDescent="0.2">
      <c r="A22" s="2"/>
      <c r="B22" s="1">
        <v>2022</v>
      </c>
      <c r="C22" s="1">
        <v>20.567499999999999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</row>
    <row r="23" spans="1:48" x14ac:dyDescent="0.2">
      <c r="A23" s="2"/>
      <c r="B23" s="1">
        <v>2023</v>
      </c>
      <c r="C23" s="1">
        <v>38.818750000000001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</row>
    <row r="24" spans="1:48" x14ac:dyDescent="0.2">
      <c r="A24" s="2"/>
      <c r="B24" s="1" t="s">
        <v>125</v>
      </c>
      <c r="C24" s="3">
        <v>69.641750000000002</v>
      </c>
      <c r="D24" s="2"/>
      <c r="E24" s="1" t="s">
        <v>126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</row>
    <row r="25" spans="1:48" x14ac:dyDescent="0.2">
      <c r="A25" s="2"/>
      <c r="B25" s="1">
        <v>2014</v>
      </c>
      <c r="C25" s="1">
        <v>6.8375000000000005E-2</v>
      </c>
      <c r="D25" s="2"/>
      <c r="E25" s="1" t="s">
        <v>127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1:48" x14ac:dyDescent="0.2">
      <c r="A26" s="2"/>
      <c r="B26" s="1">
        <v>2015</v>
      </c>
      <c r="C26" s="1">
        <v>0.25312499999999999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</row>
    <row r="27" spans="1:48" x14ac:dyDescent="0.2">
      <c r="A27" s="2"/>
      <c r="B27" s="1">
        <v>2016</v>
      </c>
      <c r="C27" s="1">
        <v>0.32750000000000001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</row>
    <row r="28" spans="1:48" x14ac:dyDescent="0.2">
      <c r="A28" s="2"/>
      <c r="B28" s="1">
        <v>2017</v>
      </c>
      <c r="C28" s="1">
        <v>0.84375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</row>
    <row r="29" spans="1:48" x14ac:dyDescent="0.2">
      <c r="A29" s="2"/>
      <c r="B29" s="1">
        <v>2018</v>
      </c>
      <c r="C29" s="1">
        <v>3.25875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</row>
    <row r="30" spans="1:48" x14ac:dyDescent="0.2">
      <c r="A30" s="2"/>
      <c r="B30" s="1">
        <v>2019</v>
      </c>
      <c r="C30" s="1">
        <v>0.97824999999999995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</row>
    <row r="31" spans="1:48" x14ac:dyDescent="0.2">
      <c r="A31" s="2"/>
      <c r="B31" s="1">
        <v>2021</v>
      </c>
      <c r="C31" s="1">
        <v>6.5824999999999996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</row>
    <row r="32" spans="1:48" x14ac:dyDescent="0.2">
      <c r="A32" s="2"/>
      <c r="B32" s="1">
        <v>2022</v>
      </c>
      <c r="C32" s="1">
        <v>18.510750000000002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</row>
    <row r="33" spans="1:48" x14ac:dyDescent="0.2">
      <c r="A33" s="2"/>
      <c r="B33" s="1">
        <v>2023</v>
      </c>
      <c r="C33" s="1">
        <v>38.818750000000001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AF160-67C9-6241-AB1E-B4173B62770B}">
  <dimension ref="A1:Z1000"/>
  <sheetViews>
    <sheetView workbookViewId="0">
      <selection activeCell="B8" sqref="B8"/>
    </sheetView>
  </sheetViews>
  <sheetFormatPr baseColWidth="10" defaultRowHeight="16" x14ac:dyDescent="0.2"/>
  <sheetData>
    <row r="1" spans="1:26" x14ac:dyDescent="0.2">
      <c r="A1" s="3" t="s">
        <v>431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6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1" t="s">
        <v>432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6" x14ac:dyDescent="0.2">
      <c r="A4" s="1" t="s">
        <v>433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6" x14ac:dyDescent="0.2">
      <c r="A5" s="1" t="s">
        <v>434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6" x14ac:dyDescent="0.2">
      <c r="A6" s="1" t="s">
        <v>435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6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1" t="s">
        <v>436</v>
      </c>
      <c r="B8" s="1">
        <v>1.2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"/>
      <c r="B10" s="1" t="s">
        <v>437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1473E-2770-4A4B-AFA3-EB25D01DC7EA}">
  <dimension ref="A1:Z1000"/>
  <sheetViews>
    <sheetView workbookViewId="0">
      <selection activeCell="D20" sqref="D20"/>
    </sheetView>
  </sheetViews>
  <sheetFormatPr baseColWidth="10" defaultRowHeight="16" x14ac:dyDescent="0.2"/>
  <sheetData>
    <row r="1" spans="1:26" x14ac:dyDescent="0.2">
      <c r="A1" s="3" t="s">
        <v>428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1" t="s">
        <v>429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1" t="s">
        <v>430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Quality Report</vt:lpstr>
      <vt:lpstr>Completeness</vt:lpstr>
      <vt:lpstr>Consistency</vt:lpstr>
      <vt:lpstr>Validity</vt:lpstr>
      <vt:lpstr>Timeliness</vt:lpstr>
      <vt:lpstr>Uniqueness</vt:lpstr>
      <vt:lpstr>Accuracy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thomasgsamandi@outlook.com</dc:creator>
  <cp:lastModifiedBy>Thomas</cp:lastModifiedBy>
  <dcterms:created xsi:type="dcterms:W3CDTF">2024-11-08T02:52:29Z</dcterms:created>
  <dcterms:modified xsi:type="dcterms:W3CDTF">2024-11-10T00:09:53Z</dcterms:modified>
</cp:coreProperties>
</file>